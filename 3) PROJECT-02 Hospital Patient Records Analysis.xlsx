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New\Documents\"/>
    </mc:Choice>
  </mc:AlternateContent>
  <xr:revisionPtr revIDLastSave="0" documentId="13_ncr:1_{88007150-8410-4A18-BFDF-DB5D71D6CB4E}" xr6:coauthVersionLast="47" xr6:coauthVersionMax="47" xr10:uidLastSave="{00000000-0000-0000-0000-000000000000}"/>
  <bookViews>
    <workbookView xWindow="-108" yWindow="-108" windowWidth="23256" windowHeight="12456" firstSheet="3" activeTab="7" xr2:uid="{E10D3A58-487A-4DE2-AD31-7CDB2D657925}"/>
  </bookViews>
  <sheets>
    <sheet name="Sheet1" sheetId="1" r:id="rId1"/>
    <sheet name="DEPARTMENT REVENUE" sheetId="5" r:id="rId2"/>
    <sheet name="PIVOTTABLE" sheetId="16" r:id="rId3"/>
    <sheet name="INSURANCE ANALYSIS" sheetId="6" r:id="rId4"/>
    <sheet name="MONTHLY ADMISSION" sheetId="7" r:id="rId5"/>
    <sheet name="PATIENTCOUNT" sheetId="8" r:id="rId6"/>
    <sheet name="AVERAGESTAY" sheetId="9" r:id="rId7"/>
    <sheet name="DASHBOARD" sheetId="11" r:id="rId8"/>
  </sheets>
  <externalReferences>
    <externalReference r:id="rId9"/>
  </externalReferences>
  <definedNames>
    <definedName name="Slicer_DEPARTMENT1">#N/A</definedName>
    <definedName name="Slicer_GENDER1">#N/A</definedName>
    <definedName name="Slicer_INSURANCE_TYPE1">#N/A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6" i="1" l="1"/>
  <c r="M5" i="1"/>
  <c r="L26" i="1"/>
  <c r="L27" i="1"/>
  <c r="L28" i="1"/>
  <c r="L29" i="1"/>
  <c r="L30" i="1"/>
  <c r="L31" i="1"/>
  <c r="L32" i="1"/>
  <c r="L33" i="1"/>
  <c r="L34" i="1"/>
  <c r="L35" i="1"/>
  <c r="L36" i="1"/>
  <c r="L37" i="1"/>
  <c r="L38" i="1"/>
  <c r="L39" i="1"/>
  <c r="L40" i="1"/>
  <c r="L41" i="1"/>
  <c r="L42" i="1"/>
  <c r="L43" i="1"/>
  <c r="L44" i="1"/>
  <c r="L45" i="1"/>
  <c r="L46" i="1"/>
  <c r="L47" i="1"/>
  <c r="L48" i="1"/>
  <c r="L49" i="1"/>
  <c r="L50" i="1"/>
  <c r="L51" i="1"/>
  <c r="L52" i="1"/>
  <c r="L4" i="1"/>
  <c r="L5" i="1"/>
  <c r="L6" i="1"/>
  <c r="L7" i="1"/>
  <c r="L8" i="1"/>
  <c r="L9" i="1"/>
  <c r="L10" i="1"/>
  <c r="L11" i="1"/>
  <c r="L12" i="1"/>
  <c r="L13" i="1"/>
  <c r="L14" i="1"/>
  <c r="L15" i="1"/>
  <c r="L16" i="1"/>
  <c r="L17" i="1"/>
  <c r="L18" i="1"/>
  <c r="L19" i="1"/>
  <c r="L20" i="1"/>
  <c r="L21" i="1"/>
  <c r="L22" i="1"/>
  <c r="L23" i="1"/>
  <c r="L24" i="1"/>
  <c r="L25" i="1"/>
  <c r="L3" i="1"/>
  <c r="M4" i="1"/>
  <c r="M3" i="1"/>
  <c r="B61" i="1"/>
  <c r="J54" i="1"/>
  <c r="E54" i="1"/>
  <c r="E55" i="1"/>
  <c r="E56" i="1"/>
</calcChain>
</file>

<file path=xl/sharedStrings.xml><?xml version="1.0" encoding="utf-8"?>
<sst xmlns="http://schemas.openxmlformats.org/spreadsheetml/2006/main" count="370" uniqueCount="130">
  <si>
    <t>PATIENT ID</t>
  </si>
  <si>
    <t>NAME</t>
  </si>
  <si>
    <t>AGE</t>
  </si>
  <si>
    <t>GENDER</t>
  </si>
  <si>
    <t>ADMISSION_DATE</t>
  </si>
  <si>
    <t>DISCHARGE_DATE</t>
  </si>
  <si>
    <t>DEPARTMENT</t>
  </si>
  <si>
    <t>DOCTOR_ASSIGNED</t>
  </si>
  <si>
    <t>DIAGNOSIS</t>
  </si>
  <si>
    <t>BILLING_AMOUNT</t>
  </si>
  <si>
    <t>INSURANCE TYPE</t>
  </si>
  <si>
    <t>Arjun</t>
  </si>
  <si>
    <t>Priya S</t>
  </si>
  <si>
    <t>Dhanush S</t>
  </si>
  <si>
    <t>Divya M</t>
  </si>
  <si>
    <t>Karthik P</t>
  </si>
  <si>
    <t>Nithya K</t>
  </si>
  <si>
    <t>Sanjay V</t>
  </si>
  <si>
    <t>Harini R</t>
  </si>
  <si>
    <t>Gokul S</t>
  </si>
  <si>
    <t>Keerthana P</t>
  </si>
  <si>
    <t>Ajay Kumar</t>
  </si>
  <si>
    <t>Haseena M</t>
  </si>
  <si>
    <t>Dinesh R</t>
  </si>
  <si>
    <t>Anitha S</t>
  </si>
  <si>
    <t>Rahul P</t>
  </si>
  <si>
    <t>Meena K</t>
  </si>
  <si>
    <t>Vijay S</t>
  </si>
  <si>
    <t>Lavanya R</t>
  </si>
  <si>
    <t>Manoj T</t>
  </si>
  <si>
    <t>Pooja M</t>
  </si>
  <si>
    <t>Male</t>
  </si>
  <si>
    <t>Female</t>
  </si>
  <si>
    <t>Manish N</t>
  </si>
  <si>
    <t>Mahi B</t>
  </si>
  <si>
    <t>Dhoni V</t>
  </si>
  <si>
    <t>Smith S</t>
  </si>
  <si>
    <t>Kaur s</t>
  </si>
  <si>
    <t>Richa D</t>
  </si>
  <si>
    <t>Gowtham A</t>
  </si>
  <si>
    <t>Shankar F</t>
  </si>
  <si>
    <t>Swaminathan M</t>
  </si>
  <si>
    <t>Murugan M</t>
  </si>
  <si>
    <t>Sneha M</t>
  </si>
  <si>
    <t>Mukesh D</t>
  </si>
  <si>
    <t>Rooth A</t>
  </si>
  <si>
    <t>Salma S</t>
  </si>
  <si>
    <t>Amala S</t>
  </si>
  <si>
    <t>Jothi H</t>
  </si>
  <si>
    <t>Sharvin R</t>
  </si>
  <si>
    <t>Varun S</t>
  </si>
  <si>
    <t>Vasu L</t>
  </si>
  <si>
    <t>Hema B</t>
  </si>
  <si>
    <t xml:space="preserve">Raj J </t>
  </si>
  <si>
    <t>Prakash R</t>
  </si>
  <si>
    <t>Kiruba M</t>
  </si>
  <si>
    <t>Karan K</t>
  </si>
  <si>
    <t>Simram M</t>
  </si>
  <si>
    <t>Kasthuri B</t>
  </si>
  <si>
    <t>Kamal R</t>
  </si>
  <si>
    <t>Rajini L</t>
  </si>
  <si>
    <t>Ajith N</t>
  </si>
  <si>
    <t>Rajesh A</t>
  </si>
  <si>
    <t>Orthopedics</t>
  </si>
  <si>
    <t>Cardiology</t>
  </si>
  <si>
    <t>General</t>
  </si>
  <si>
    <t>ICU</t>
  </si>
  <si>
    <t>Emergency</t>
  </si>
  <si>
    <t>Dermatology</t>
  </si>
  <si>
    <t>Pediatrics</t>
  </si>
  <si>
    <t>Neurology</t>
  </si>
  <si>
    <t>Dental</t>
  </si>
  <si>
    <t>Physiotherapy</t>
  </si>
  <si>
    <t>General Surgery</t>
  </si>
  <si>
    <t>Dr.Mani</t>
  </si>
  <si>
    <t>Dr.Raj</t>
  </si>
  <si>
    <t>Dr.Raja</t>
  </si>
  <si>
    <t>Dr.Prema</t>
  </si>
  <si>
    <t>Dr.prakash</t>
  </si>
  <si>
    <t>Dr.Rahul</t>
  </si>
  <si>
    <t>Dr.Dravid</t>
  </si>
  <si>
    <t>Dr.Kumar</t>
  </si>
  <si>
    <t>Dr.Velan</t>
  </si>
  <si>
    <t>Dr.Ramesh</t>
  </si>
  <si>
    <t>Dr.Kannan</t>
  </si>
  <si>
    <t>Back Pain</t>
  </si>
  <si>
    <t>Chest Pain</t>
  </si>
  <si>
    <t>Fever</t>
  </si>
  <si>
    <t>Heart Attack</t>
  </si>
  <si>
    <t>Accident Injury</t>
  </si>
  <si>
    <t>Skin Allergy</t>
  </si>
  <si>
    <t>Childhood Infection</t>
  </si>
  <si>
    <t>Stroke</t>
  </si>
  <si>
    <t>Gum Infection</t>
  </si>
  <si>
    <t>Shoulder Pain</t>
  </si>
  <si>
    <t>Gallstones</t>
  </si>
  <si>
    <t>Critical Injury</t>
  </si>
  <si>
    <t>Poisoning</t>
  </si>
  <si>
    <t>Skin Infection</t>
  </si>
  <si>
    <t>Asthma</t>
  </si>
  <si>
    <t>Neuropathy</t>
  </si>
  <si>
    <t>Wisdom Tooth</t>
  </si>
  <si>
    <t>Sports Injury</t>
  </si>
  <si>
    <t>Abdominal Pain</t>
  </si>
  <si>
    <t>Cold</t>
  </si>
  <si>
    <t>Severe Infection</t>
  </si>
  <si>
    <t>Migraine</t>
  </si>
  <si>
    <t>Self-pay</t>
  </si>
  <si>
    <t>Government</t>
  </si>
  <si>
    <t>Insured</t>
  </si>
  <si>
    <t>No Fees</t>
  </si>
  <si>
    <t>Dr.prakashkumar</t>
  </si>
  <si>
    <t>Duplicates, blanks, dates</t>
  </si>
  <si>
    <t>Billing Check</t>
  </si>
  <si>
    <t>Row Labels</t>
  </si>
  <si>
    <t>Grand Total</t>
  </si>
  <si>
    <t>Total_Revenue</t>
  </si>
  <si>
    <t>Total_Patients</t>
  </si>
  <si>
    <t>Admission_Month</t>
  </si>
  <si>
    <t>Total_Admissions</t>
  </si>
  <si>
    <t>2026-05</t>
  </si>
  <si>
    <t>2026-06</t>
  </si>
  <si>
    <t>2026-07</t>
  </si>
  <si>
    <t>2026-08</t>
  </si>
  <si>
    <t>2026-09</t>
  </si>
  <si>
    <t>Average_Stay_Days</t>
  </si>
  <si>
    <t>AVERAGE STAY</t>
  </si>
  <si>
    <t>Sum of BILLING_AMOUNT</t>
  </si>
  <si>
    <t>HOSPITAL PATIENT ANALYSIS</t>
  </si>
  <si>
    <t>HOSPITAL PATIENT RECORD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</si>
</sst>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rgb="FF000000"/>
      <name val="Calibri"/>
      <family val="2"/>
      <scheme val="minor"/>
    </font>
    <font>
      <sz val="11"/>
      <color rgb="FFFF0000"/>
      <name val="Calibri"/>
      <family val="2"/>
      <scheme val="minor"/>
    </font>
    <font>
      <sz val="11"/>
      <color theme="4"/>
      <name val="Calibri"/>
      <family val="2"/>
      <scheme val="minor"/>
    </font>
  </fonts>
  <fills count="3">
    <fill>
      <patternFill patternType="none"/>
    </fill>
    <fill>
      <patternFill patternType="gray125"/>
    </fill>
    <fill>
      <patternFill patternType="solid">
        <fgColor theme="8"/>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vertical="center" wrapText="1"/>
    </xf>
    <xf numFmtId="14" fontId="0" fillId="0" borderId="0" xfId="0" applyNumberFormat="1"/>
    <xf numFmtId="14" fontId="1" fillId="0" borderId="0" xfId="0" applyNumberFormat="1" applyFont="1"/>
    <xf numFmtId="0" fontId="0" fillId="0" borderId="0" xfId="0" pivotButton="1"/>
    <xf numFmtId="0" fontId="0" fillId="0" borderId="0" xfId="0" applyAlignment="1">
      <alignment horizontal="left"/>
    </xf>
    <xf numFmtId="0" fontId="1" fillId="0" borderId="0" xfId="0" applyFont="1"/>
    <xf numFmtId="0" fontId="2" fillId="0" borderId="0" xfId="0" applyFont="1" applyAlignment="1">
      <alignment wrapText="1"/>
    </xf>
    <xf numFmtId="0" fontId="2" fillId="0" borderId="0" xfId="0" applyFont="1"/>
    <xf numFmtId="0" fontId="3" fillId="0" borderId="0" xfId="0" applyFont="1" applyAlignment="1">
      <alignment wrapText="1"/>
    </xf>
    <xf numFmtId="0" fontId="2" fillId="2" borderId="0" xfId="0" applyFont="1" applyFill="1" applyAlignment="1">
      <alignment wrapText="1"/>
    </xf>
  </cellXfs>
  <cellStyles count="1">
    <cellStyle name="Normal" xfId="0" builtinId="0"/>
  </cellStyles>
  <dxfs count="10">
    <dxf>
      <font>
        <b val="0"/>
        <i val="0"/>
        <strike val="0"/>
        <condense val="0"/>
        <extend val="0"/>
        <outline val="0"/>
        <shadow val="0"/>
        <u val="none"/>
        <vertAlign val="baseline"/>
        <sz val="11"/>
        <color rgb="FFFF0000"/>
        <name val="Calibri"/>
        <family val="2"/>
        <scheme val="minor"/>
      </font>
    </dxf>
    <dxf>
      <font>
        <b val="0"/>
        <i val="0"/>
        <strike val="0"/>
        <condense val="0"/>
        <extend val="0"/>
        <outline val="0"/>
        <shadow val="0"/>
        <u val="none"/>
        <vertAlign val="baseline"/>
        <sz val="11"/>
        <color rgb="FF000000"/>
        <name val="Calibri"/>
        <family val="2"/>
        <scheme val="minor"/>
      </font>
      <numFmt numFmtId="19" formatCode="dd/mm/yyyy"/>
    </dxf>
    <dxf>
      <font>
        <b val="0"/>
        <i val="0"/>
        <strike val="0"/>
        <condense val="0"/>
        <extend val="0"/>
        <outline val="0"/>
        <shadow val="0"/>
        <u val="none"/>
        <vertAlign val="baseline"/>
        <sz val="11"/>
        <color rgb="FF000000"/>
        <name val="Calibri"/>
        <family val="2"/>
        <scheme val="minor"/>
      </font>
      <numFmt numFmtId="19" formatCode="dd/mm/yyyy"/>
    </dxf>
    <dxf>
      <alignment horizontal="general" vertical="center" textRotation="0" wrapText="1" indent="0" justifyLastLine="0" shrinkToFit="0" readingOrder="0"/>
    </dxf>
    <dxf>
      <alignment horizontal="general" vertical="center" textRotation="0" wrapText="1" indent="0" justifyLastLine="0" shrinkToFit="0" readingOrder="0"/>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DEPARTMENT_REVENUE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stacked"/>
        <c:varyColors val="0"/>
        <c:ser>
          <c:idx val="0"/>
          <c:order val="0"/>
          <c:tx>
            <c:strRef>
              <c:f>'[1]DEPARTMENT REVENUECSV'!$B$1</c:f>
              <c:strCache>
                <c:ptCount val="1"/>
                <c:pt idx="0">
                  <c:v>Total_Revenue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'[1]DEPARTMENT REVENUECSV'!$A$2:$A$12</c:f>
              <c:strCache>
                <c:ptCount val="11"/>
                <c:pt idx="0">
                  <c:v>Emergency</c:v>
                </c:pt>
                <c:pt idx="1">
                  <c:v>ICU</c:v>
                </c:pt>
                <c:pt idx="2">
                  <c:v>Physiotherapy</c:v>
                </c:pt>
                <c:pt idx="3">
                  <c:v>General Surgery</c:v>
                </c:pt>
                <c:pt idx="4">
                  <c:v>Neurology</c:v>
                </c:pt>
                <c:pt idx="5">
                  <c:v>Cardiology</c:v>
                </c:pt>
                <c:pt idx="6">
                  <c:v>Pediatrics</c:v>
                </c:pt>
                <c:pt idx="7">
                  <c:v>Dermatology</c:v>
                </c:pt>
                <c:pt idx="8">
                  <c:v>Dental</c:v>
                </c:pt>
                <c:pt idx="9">
                  <c:v>General</c:v>
                </c:pt>
                <c:pt idx="10">
                  <c:v>Orthopedics</c:v>
                </c:pt>
              </c:strCache>
            </c:strRef>
          </c:cat>
          <c:val>
            <c:numRef>
              <c:f>'[1]DEPARTMENT REVENUECSV'!$B$2:$B$12</c:f>
              <c:numCache>
                <c:formatCode>General</c:formatCode>
                <c:ptCount val="11"/>
                <c:pt idx="0">
                  <c:v>414000</c:v>
                </c:pt>
                <c:pt idx="1">
                  <c:v>247000</c:v>
                </c:pt>
                <c:pt idx="2">
                  <c:v>194000</c:v>
                </c:pt>
                <c:pt idx="3">
                  <c:v>94500</c:v>
                </c:pt>
                <c:pt idx="4">
                  <c:v>86500</c:v>
                </c:pt>
                <c:pt idx="5">
                  <c:v>56400</c:v>
                </c:pt>
                <c:pt idx="6">
                  <c:v>26000</c:v>
                </c:pt>
                <c:pt idx="7">
                  <c:v>24700</c:v>
                </c:pt>
                <c:pt idx="8">
                  <c:v>23000</c:v>
                </c:pt>
                <c:pt idx="9">
                  <c:v>12000</c:v>
                </c:pt>
                <c:pt idx="10">
                  <c:v>7000</c:v>
                </c:pt>
              </c:numCache>
            </c:numRef>
          </c:val>
          <c:extLst>
            <c:ext xmlns:c16="http://schemas.microsoft.com/office/drawing/2014/chart" uri="{C3380CC4-5D6E-409C-BE32-E72D297353CC}">
              <c16:uniqueId val="{00000000-F77D-4C02-A440-5342D651C3CA}"/>
            </c:ext>
          </c:extLst>
        </c:ser>
        <c:dLbls>
          <c:dLblPos val="ctr"/>
          <c:showLegendKey val="0"/>
          <c:showVal val="1"/>
          <c:showCatName val="0"/>
          <c:showSerName val="0"/>
          <c:showPercent val="0"/>
          <c:showBubbleSize val="0"/>
        </c:dLbls>
        <c:gapWidth val="150"/>
        <c:overlap val="100"/>
        <c:axId val="12765840"/>
        <c:axId val="435454304"/>
      </c:barChart>
      <c:catAx>
        <c:axId val="127658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5454304"/>
        <c:crosses val="autoZero"/>
        <c:auto val="1"/>
        <c:lblAlgn val="ctr"/>
        <c:lblOffset val="100"/>
        <c:noMultiLvlLbl val="0"/>
      </c:catAx>
      <c:valAx>
        <c:axId val="43545430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65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INSURANCE</a:t>
            </a:r>
            <a:r>
              <a:rPr lang="en-US" baseline="0"/>
              <a:t> ANALYSIS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tx>
            <c:strRef>
              <c:f>'[1]INSURANCE ANALYSIS'!$B$1</c:f>
              <c:strCache>
                <c:ptCount val="1"/>
                <c:pt idx="0">
                  <c:v>Total_Patients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D69-4AE3-8680-BF18828C85B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D69-4AE3-8680-BF18828C85B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D69-4AE3-8680-BF18828C85BE}"/>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CD69-4AE3-8680-BF18828C85BE}"/>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'[1]INSURANCE ANALYSIS'!$A$2:$A$5</c:f>
              <c:strCache>
                <c:ptCount val="4"/>
                <c:pt idx="0">
                  <c:v>Self-pay</c:v>
                </c:pt>
                <c:pt idx="1">
                  <c:v>Government</c:v>
                </c:pt>
                <c:pt idx="2">
                  <c:v>Insured</c:v>
                </c:pt>
                <c:pt idx="3">
                  <c:v>No Fees</c:v>
                </c:pt>
              </c:strCache>
            </c:strRef>
          </c:cat>
          <c:val>
            <c:numRef>
              <c:f>'[1]INSURANCE ANALYSIS'!$B$2:$B$5</c:f>
              <c:numCache>
                <c:formatCode>General</c:formatCode>
                <c:ptCount val="4"/>
                <c:pt idx="0">
                  <c:v>23</c:v>
                </c:pt>
                <c:pt idx="1">
                  <c:v>16</c:v>
                </c:pt>
                <c:pt idx="2">
                  <c:v>10</c:v>
                </c:pt>
                <c:pt idx="3">
                  <c:v>1</c:v>
                </c:pt>
              </c:numCache>
            </c:numRef>
          </c:val>
          <c:extLst>
            <c:ext xmlns:c16="http://schemas.microsoft.com/office/drawing/2014/chart" uri="{C3380CC4-5D6E-409C-BE32-E72D297353CC}">
              <c16:uniqueId val="{00000008-CD69-4AE3-8680-BF18828C85BE}"/>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MONTHLY_Admissions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manualLayout>
          <c:layoutTarget val="inner"/>
          <c:xMode val="edge"/>
          <c:yMode val="edge"/>
          <c:x val="3.3333333333333333E-2"/>
          <c:y val="0.20050925925925925"/>
          <c:w val="0.93888888888888888"/>
          <c:h val="0.71523950131233593"/>
        </c:manualLayout>
      </c:layout>
      <c:lineChart>
        <c:grouping val="standard"/>
        <c:varyColors val="0"/>
        <c:ser>
          <c:idx val="0"/>
          <c:order val="0"/>
          <c:tx>
            <c:strRef>
              <c:f>'[1]MONTHLY ADMISSION'!$B$1</c:f>
              <c:strCache>
                <c:ptCount val="1"/>
                <c:pt idx="0">
                  <c:v>Total_Admissions</c:v>
                </c:pt>
              </c:strCache>
            </c:strRef>
          </c:tx>
          <c:spPr>
            <a:ln w="25400" cap="rnd">
              <a:solidFill>
                <a:schemeClr val="lt1"/>
              </a:solidFill>
              <a:round/>
            </a:ln>
            <a:effectLst>
              <a:outerShdw dist="25400" dir="2700000" algn="tl" rotWithShape="0">
                <a:schemeClr val="accent1"/>
              </a:outerShdw>
            </a:effectLst>
          </c:spPr>
          <c:marker>
            <c:symbol val="none"/>
          </c:marker>
          <c:dLbls>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'[1]MONTHLY ADMISSION'!$A$2:$A$6</c:f>
              <c:strCache>
                <c:ptCount val="5"/>
                <c:pt idx="0">
                  <c:v>2026-05</c:v>
                </c:pt>
                <c:pt idx="1">
                  <c:v>2026-06</c:v>
                </c:pt>
                <c:pt idx="2">
                  <c:v>2026-07</c:v>
                </c:pt>
                <c:pt idx="3">
                  <c:v>2026-08</c:v>
                </c:pt>
                <c:pt idx="4">
                  <c:v>2026-09</c:v>
                </c:pt>
              </c:strCache>
            </c:strRef>
          </c:cat>
          <c:val>
            <c:numRef>
              <c:f>'[1]MONTHLY ADMISSION'!$B$2:$B$6</c:f>
              <c:numCache>
                <c:formatCode>General</c:formatCode>
                <c:ptCount val="5"/>
                <c:pt idx="0">
                  <c:v>10</c:v>
                </c:pt>
                <c:pt idx="1">
                  <c:v>10</c:v>
                </c:pt>
                <c:pt idx="2">
                  <c:v>10</c:v>
                </c:pt>
                <c:pt idx="3">
                  <c:v>10</c:v>
                </c:pt>
                <c:pt idx="4">
                  <c:v>10</c:v>
                </c:pt>
              </c:numCache>
            </c:numRef>
          </c:val>
          <c:smooth val="0"/>
          <c:extLst>
            <c:ext xmlns:c16="http://schemas.microsoft.com/office/drawing/2014/chart" uri="{C3380CC4-5D6E-409C-BE32-E72D297353CC}">
              <c16:uniqueId val="{00000000-0CA0-4D18-9B39-685EF61269B7}"/>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1602084272"/>
        <c:axId val="435477824"/>
      </c:lineChart>
      <c:catAx>
        <c:axId val="16020842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435477824"/>
        <c:crosses val="autoZero"/>
        <c:auto val="1"/>
        <c:lblAlgn val="ctr"/>
        <c:lblOffset val="100"/>
        <c:noMultiLvlLbl val="0"/>
      </c:catAx>
      <c:valAx>
        <c:axId val="435477824"/>
        <c:scaling>
          <c:orientation val="minMax"/>
        </c:scaling>
        <c:delete val="1"/>
        <c:axPos val="l"/>
        <c:numFmt formatCode="General" sourceLinked="1"/>
        <c:majorTickMark val="none"/>
        <c:minorTickMark val="none"/>
        <c:tickLblPos val="nextTo"/>
        <c:crossAx val="1602084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PATIENT COUNT</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[1]PATIENTCOUNT!$B$1</c:f>
              <c:strCache>
                <c:ptCount val="1"/>
                <c:pt idx="0">
                  <c:v>Total_Patients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[1]PATIENTCOUNT!$A$2:$A$12</c:f>
              <c:strCache>
                <c:ptCount val="11"/>
                <c:pt idx="0">
                  <c:v>ICU</c:v>
                </c:pt>
                <c:pt idx="1">
                  <c:v>Emergency</c:v>
                </c:pt>
                <c:pt idx="2">
                  <c:v>Dermatology</c:v>
                </c:pt>
                <c:pt idx="3">
                  <c:v>Pediatrics</c:v>
                </c:pt>
                <c:pt idx="4">
                  <c:v>Neurology</c:v>
                </c:pt>
                <c:pt idx="5">
                  <c:v>Dental</c:v>
                </c:pt>
                <c:pt idx="6">
                  <c:v>Physiotherapy</c:v>
                </c:pt>
                <c:pt idx="7">
                  <c:v>General Surgery</c:v>
                </c:pt>
                <c:pt idx="8">
                  <c:v>General</c:v>
                </c:pt>
                <c:pt idx="9">
                  <c:v>Cardiology</c:v>
                </c:pt>
                <c:pt idx="10">
                  <c:v>Orthopedics</c:v>
                </c:pt>
              </c:strCache>
            </c:strRef>
          </c:cat>
          <c:val>
            <c:numRef>
              <c:f>[1]PATIENTCOUNT!$B$2:$B$12</c:f>
              <c:numCache>
                <c:formatCode>General</c:formatCode>
                <c:ptCount val="11"/>
                <c:pt idx="0">
                  <c:v>6</c:v>
                </c:pt>
                <c:pt idx="1">
                  <c:v>6</c:v>
                </c:pt>
                <c:pt idx="2">
                  <c:v>5</c:v>
                </c:pt>
                <c:pt idx="3">
                  <c:v>5</c:v>
                </c:pt>
                <c:pt idx="4">
                  <c:v>5</c:v>
                </c:pt>
                <c:pt idx="5">
                  <c:v>5</c:v>
                </c:pt>
                <c:pt idx="6">
                  <c:v>5</c:v>
                </c:pt>
                <c:pt idx="7">
                  <c:v>5</c:v>
                </c:pt>
                <c:pt idx="8">
                  <c:v>4</c:v>
                </c:pt>
                <c:pt idx="9">
                  <c:v>3</c:v>
                </c:pt>
                <c:pt idx="10">
                  <c:v>1</c:v>
                </c:pt>
              </c:numCache>
            </c:numRef>
          </c:val>
          <c:extLst>
            <c:ext xmlns:c16="http://schemas.microsoft.com/office/drawing/2014/chart" uri="{C3380CC4-5D6E-409C-BE32-E72D297353CC}">
              <c16:uniqueId val="{00000000-6B6C-492C-9050-1CC1201295C3}"/>
            </c:ext>
          </c:extLst>
        </c:ser>
        <c:dLbls>
          <c:dLblPos val="ctr"/>
          <c:showLegendKey val="0"/>
          <c:showVal val="1"/>
          <c:showCatName val="0"/>
          <c:showSerName val="0"/>
          <c:showPercent val="0"/>
          <c:showBubbleSize val="0"/>
        </c:dLbls>
        <c:gapWidth val="79"/>
        <c:overlap val="100"/>
        <c:axId val="1383345568"/>
        <c:axId val="435485024"/>
      </c:barChart>
      <c:catAx>
        <c:axId val="1383345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435485024"/>
        <c:crosses val="autoZero"/>
        <c:auto val="1"/>
        <c:lblAlgn val="ctr"/>
        <c:lblOffset val="100"/>
        <c:noMultiLvlLbl val="0"/>
      </c:catAx>
      <c:valAx>
        <c:axId val="435485024"/>
        <c:scaling>
          <c:orientation val="minMax"/>
        </c:scaling>
        <c:delete val="1"/>
        <c:axPos val="b"/>
        <c:numFmt formatCode="General" sourceLinked="1"/>
        <c:majorTickMark val="none"/>
        <c:minorTickMark val="none"/>
        <c:tickLblPos val="nextTo"/>
        <c:crossAx val="1383345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4</xdr:col>
      <xdr:colOff>205740</xdr:colOff>
      <xdr:row>4</xdr:row>
      <xdr:rowOff>76200</xdr:rowOff>
    </xdr:from>
    <xdr:to>
      <xdr:col>7</xdr:col>
      <xdr:colOff>205740</xdr:colOff>
      <xdr:row>17</xdr:row>
      <xdr:rowOff>165735</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9E1F21A6-9096-774D-0ACC-56C67798EA3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977640" y="8077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449580</xdr:colOff>
      <xdr:row>3</xdr:row>
      <xdr:rowOff>160020</xdr:rowOff>
    </xdr:from>
    <xdr:to>
      <xdr:col>10</xdr:col>
      <xdr:colOff>449580</xdr:colOff>
      <xdr:row>17</xdr:row>
      <xdr:rowOff>66675</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CB88BC67-1E15-22E9-41B6-F5C959D77D33}"/>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6050280" y="7086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38100</xdr:colOff>
      <xdr:row>3</xdr:row>
      <xdr:rowOff>106680</xdr:rowOff>
    </xdr:from>
    <xdr:to>
      <xdr:col>14</xdr:col>
      <xdr:colOff>38100</xdr:colOff>
      <xdr:row>17</xdr:row>
      <xdr:rowOff>13335</xdr:rowOff>
    </xdr:to>
    <mc:AlternateContent xmlns:mc="http://schemas.openxmlformats.org/markup-compatibility/2006" xmlns:a14="http://schemas.microsoft.com/office/drawing/2010/main">
      <mc:Choice Requires="a14">
        <xdr:graphicFrame macro="">
          <xdr:nvGraphicFramePr>
            <xdr:cNvPr id="4" name="INSURANCE TYPE 1">
              <a:extLst>
                <a:ext uri="{FF2B5EF4-FFF2-40B4-BE49-F238E27FC236}">
                  <a16:creationId xmlns:a16="http://schemas.microsoft.com/office/drawing/2014/main" id="{341F9B49-0A89-413C-4D1F-B8C35CF969C4}"/>
                </a:ext>
              </a:extLst>
            </xdr:cNvPr>
            <xdr:cNvGraphicFramePr/>
          </xdr:nvGraphicFramePr>
          <xdr:xfrm>
            <a:off x="0" y="0"/>
            <a:ext cx="0" cy="0"/>
          </xdr:xfrm>
          <a:graphic>
            <a:graphicData uri="http://schemas.microsoft.com/office/drawing/2010/slicer">
              <sle:slicer xmlns:sle="http://schemas.microsoft.com/office/drawing/2010/slicer" name="INSURANCE TYPE 1"/>
            </a:graphicData>
          </a:graphic>
        </xdr:graphicFrame>
      </mc:Choice>
      <mc:Fallback xmlns="">
        <xdr:sp macro="" textlink="">
          <xdr:nvSpPr>
            <xdr:cNvPr id="0" name=""/>
            <xdr:cNvSpPr>
              <a:spLocks noTextEdit="1"/>
            </xdr:cNvSpPr>
          </xdr:nvSpPr>
          <xdr:spPr>
            <a:xfrm>
              <a:off x="8077200" y="6553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388620</xdr:colOff>
      <xdr:row>12</xdr:row>
      <xdr:rowOff>167640</xdr:rowOff>
    </xdr:from>
    <xdr:to>
      <xdr:col>8</xdr:col>
      <xdr:colOff>693420</xdr:colOff>
      <xdr:row>27</xdr:row>
      <xdr:rowOff>167640</xdr:rowOff>
    </xdr:to>
    <xdr:graphicFrame macro="">
      <xdr:nvGraphicFramePr>
        <xdr:cNvPr id="2" name="Chart 1">
          <a:extLst>
            <a:ext uri="{FF2B5EF4-FFF2-40B4-BE49-F238E27FC236}">
              <a16:creationId xmlns:a16="http://schemas.microsoft.com/office/drawing/2014/main" id="{AA7B5EED-1BCE-4E93-9C0B-42936DFD69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7620</xdr:colOff>
      <xdr:row>12</xdr:row>
      <xdr:rowOff>144780</xdr:rowOff>
    </xdr:from>
    <xdr:to>
      <xdr:col>16</xdr:col>
      <xdr:colOff>312420</xdr:colOff>
      <xdr:row>27</xdr:row>
      <xdr:rowOff>144780</xdr:rowOff>
    </xdr:to>
    <xdr:graphicFrame macro="">
      <xdr:nvGraphicFramePr>
        <xdr:cNvPr id="3" name="Chart 2">
          <a:extLst>
            <a:ext uri="{FF2B5EF4-FFF2-40B4-BE49-F238E27FC236}">
              <a16:creationId xmlns:a16="http://schemas.microsoft.com/office/drawing/2014/main" id="{FF004932-CD69-401E-93A0-9F99A009EE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403860</xdr:colOff>
      <xdr:row>29</xdr:row>
      <xdr:rowOff>7620</xdr:rowOff>
    </xdr:from>
    <xdr:to>
      <xdr:col>8</xdr:col>
      <xdr:colOff>708660</xdr:colOff>
      <xdr:row>44</xdr:row>
      <xdr:rowOff>7620</xdr:rowOff>
    </xdr:to>
    <xdr:graphicFrame macro="">
      <xdr:nvGraphicFramePr>
        <xdr:cNvPr id="4" name="Chart 3">
          <a:extLst>
            <a:ext uri="{FF2B5EF4-FFF2-40B4-BE49-F238E27FC236}">
              <a16:creationId xmlns:a16="http://schemas.microsoft.com/office/drawing/2014/main" id="{23E77AF6-B75C-4B28-AEC6-1673524368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15240</xdr:colOff>
      <xdr:row>29</xdr:row>
      <xdr:rowOff>0</xdr:rowOff>
    </xdr:from>
    <xdr:to>
      <xdr:col>16</xdr:col>
      <xdr:colOff>320040</xdr:colOff>
      <xdr:row>44</xdr:row>
      <xdr:rowOff>0</xdr:rowOff>
    </xdr:to>
    <xdr:graphicFrame macro="">
      <xdr:nvGraphicFramePr>
        <xdr:cNvPr id="5" name="Chart 4">
          <a:extLst>
            <a:ext uri="{FF2B5EF4-FFF2-40B4-BE49-F238E27FC236}">
              <a16:creationId xmlns:a16="http://schemas.microsoft.com/office/drawing/2014/main" id="{738B3DA6-6569-433A-8DB9-C6A37ED2F0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114300</xdr:colOff>
      <xdr:row>7</xdr:row>
      <xdr:rowOff>167640</xdr:rowOff>
    </xdr:from>
    <xdr:to>
      <xdr:col>15</xdr:col>
      <xdr:colOff>0</xdr:colOff>
      <xdr:row>11</xdr:row>
      <xdr:rowOff>175260</xdr:rowOff>
    </xdr:to>
    <xdr:sp macro="" textlink="">
      <xdr:nvSpPr>
        <xdr:cNvPr id="7" name="Rectangle: Rounded Corners 6">
          <a:extLst>
            <a:ext uri="{FF2B5EF4-FFF2-40B4-BE49-F238E27FC236}">
              <a16:creationId xmlns:a16="http://schemas.microsoft.com/office/drawing/2014/main" id="{1CC2876B-F78E-C82A-04B5-F625C4328B3E}"/>
            </a:ext>
          </a:extLst>
        </xdr:cNvPr>
        <xdr:cNvSpPr/>
      </xdr:nvSpPr>
      <xdr:spPr>
        <a:xfrm>
          <a:off x="8077200" y="1790700"/>
          <a:ext cx="2324100" cy="739140"/>
        </a:xfrm>
        <a:prstGeom prst="roundRect">
          <a:avLst/>
        </a:prstGeom>
        <a:solidFill>
          <a:schemeClr val="accent2"/>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r>
            <a:rPr lang="en-IN" sz="1100" b="0" cap="none" spc="0">
              <a:ln w="0"/>
              <a:solidFill>
                <a:schemeClr val="accent1"/>
              </a:solidFill>
              <a:effectLst>
                <a:outerShdw blurRad="38100" dist="25400" dir="5400000" algn="ctr" rotWithShape="0">
                  <a:srgbClr val="6E747A">
                    <a:alpha val="43000"/>
                  </a:srgbClr>
                </a:outerShdw>
              </a:effectLst>
            </a:rPr>
            <a:t>DEPARTMENTS</a:t>
          </a:r>
        </a:p>
        <a:p>
          <a:pPr algn="l"/>
          <a:r>
            <a:rPr lang="en-IN" sz="1100" b="0" cap="none" spc="0" baseline="0">
              <a:ln w="0"/>
              <a:solidFill>
                <a:schemeClr val="accent1"/>
              </a:solidFill>
              <a:effectLst>
                <a:outerShdw blurRad="38100" dist="25400" dir="5400000" algn="ctr" rotWithShape="0">
                  <a:srgbClr val="6E747A">
                    <a:alpha val="43000"/>
                  </a:srgbClr>
                </a:outerShdw>
              </a:effectLst>
            </a:rPr>
            <a:t>                              </a:t>
          </a:r>
          <a:r>
            <a:rPr lang="en-IN" sz="1100" b="0" i="0" u="none" strike="noStrike" cap="none" spc="0">
              <a:ln w="0"/>
              <a:solidFill>
                <a:schemeClr val="accent1"/>
              </a:solidFill>
              <a:effectLst>
                <a:outerShdw blurRad="38100" dist="25400" dir="5400000" algn="ctr" rotWithShape="0">
                  <a:srgbClr val="6E747A">
                    <a:alpha val="43000"/>
                  </a:srgbClr>
                </a:outerShdw>
              </a:effectLst>
              <a:latin typeface="+mn-lt"/>
              <a:ea typeface="+mn-ea"/>
              <a:cs typeface="+mn-cs"/>
            </a:rPr>
            <a:t>12</a:t>
          </a:r>
          <a:r>
            <a:rPr lang="en-IN" b="0" cap="none" spc="0">
              <a:ln w="0"/>
              <a:solidFill>
                <a:schemeClr val="accent1"/>
              </a:solidFill>
              <a:effectLst>
                <a:outerShdw blurRad="38100" dist="25400" dir="5400000" algn="ctr" rotWithShape="0">
                  <a:srgbClr val="6E747A">
                    <a:alpha val="43000"/>
                  </a:srgbClr>
                </a:outerShdw>
              </a:effectLst>
            </a:rPr>
            <a:t> </a:t>
          </a:r>
          <a:endParaRPr lang="en-IN" sz="11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3</xdr:col>
      <xdr:colOff>243840</xdr:colOff>
      <xdr:row>7</xdr:row>
      <xdr:rowOff>160020</xdr:rowOff>
    </xdr:from>
    <xdr:to>
      <xdr:col>7</xdr:col>
      <xdr:colOff>38100</xdr:colOff>
      <xdr:row>11</xdr:row>
      <xdr:rowOff>68580</xdr:rowOff>
    </xdr:to>
    <xdr:sp macro="" textlink="">
      <xdr:nvSpPr>
        <xdr:cNvPr id="8" name="Rectangle: Rounded Corners 7">
          <a:extLst>
            <a:ext uri="{FF2B5EF4-FFF2-40B4-BE49-F238E27FC236}">
              <a16:creationId xmlns:a16="http://schemas.microsoft.com/office/drawing/2014/main" id="{26538742-2D95-15E7-06F2-297FEDA76DDB}"/>
            </a:ext>
          </a:extLst>
        </xdr:cNvPr>
        <xdr:cNvSpPr/>
      </xdr:nvSpPr>
      <xdr:spPr>
        <a:xfrm>
          <a:off x="2072640" y="1783080"/>
          <a:ext cx="2232660" cy="640080"/>
        </a:xfrm>
        <a:prstGeom prst="roundRect">
          <a:avLst/>
        </a:prstGeom>
        <a:solidFill>
          <a:schemeClr val="accent2"/>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100" b="0" cap="none" spc="0">
              <a:ln w="0"/>
              <a:solidFill>
                <a:schemeClr val="accent1"/>
              </a:solidFill>
              <a:effectLst>
                <a:outerShdw blurRad="38100" dist="25400" dir="5400000" algn="ctr" rotWithShape="0">
                  <a:srgbClr val="6E747A">
                    <a:alpha val="43000"/>
                  </a:srgbClr>
                </a:outerShdw>
              </a:effectLst>
            </a:rPr>
            <a:t>AVERAGE STAY</a:t>
          </a:r>
          <a:br>
            <a:rPr lang="en-IN" sz="1100" b="0" cap="none" spc="0">
              <a:ln w="0"/>
              <a:solidFill>
                <a:schemeClr val="accent1"/>
              </a:solidFill>
              <a:effectLst>
                <a:outerShdw blurRad="38100" dist="25400" dir="5400000" algn="ctr" rotWithShape="0">
                  <a:srgbClr val="6E747A">
                    <a:alpha val="43000"/>
                  </a:srgbClr>
                </a:outerShdw>
              </a:effectLst>
            </a:rPr>
          </a:br>
          <a:r>
            <a:rPr lang="en-IN" sz="1100" b="0" i="0" u="none" strike="noStrike" cap="none" spc="0">
              <a:ln w="0"/>
              <a:solidFill>
                <a:schemeClr val="accent1"/>
              </a:solidFill>
              <a:effectLst>
                <a:outerShdw blurRad="38100" dist="25400" dir="5400000" algn="ctr" rotWithShape="0">
                  <a:srgbClr val="6E747A">
                    <a:alpha val="43000"/>
                  </a:srgbClr>
                </a:outerShdw>
              </a:effectLst>
              <a:latin typeface="+mn-lt"/>
              <a:ea typeface="+mn-ea"/>
              <a:cs typeface="+mn-cs"/>
            </a:rPr>
            <a:t>4.16</a:t>
          </a:r>
          <a:r>
            <a:rPr lang="en-IN" b="0" cap="none" spc="0">
              <a:ln w="0"/>
              <a:solidFill>
                <a:schemeClr val="accent1"/>
              </a:solidFill>
              <a:effectLst>
                <a:outerShdw blurRad="38100" dist="25400" dir="5400000" algn="ctr" rotWithShape="0">
                  <a:srgbClr val="6E747A">
                    <a:alpha val="43000"/>
                  </a:srgbClr>
                </a:outerShdw>
              </a:effectLst>
            </a:rPr>
            <a:t> </a:t>
          </a:r>
          <a:endParaRPr lang="en-IN" sz="11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3</xdr:col>
      <xdr:colOff>190500</xdr:colOff>
      <xdr:row>3</xdr:row>
      <xdr:rowOff>83820</xdr:rowOff>
    </xdr:from>
    <xdr:to>
      <xdr:col>7</xdr:col>
      <xdr:colOff>7620</xdr:colOff>
      <xdr:row>7</xdr:row>
      <xdr:rowOff>22860</xdr:rowOff>
    </xdr:to>
    <xdr:sp macro="" textlink="">
      <xdr:nvSpPr>
        <xdr:cNvPr id="9" name="Rectangle: Rounded Corners 8">
          <a:extLst>
            <a:ext uri="{FF2B5EF4-FFF2-40B4-BE49-F238E27FC236}">
              <a16:creationId xmlns:a16="http://schemas.microsoft.com/office/drawing/2014/main" id="{08426ADA-5852-5401-43B9-025C9C8F7D3E}"/>
            </a:ext>
          </a:extLst>
        </xdr:cNvPr>
        <xdr:cNvSpPr/>
      </xdr:nvSpPr>
      <xdr:spPr>
        <a:xfrm>
          <a:off x="2019300" y="975360"/>
          <a:ext cx="2255520" cy="670560"/>
        </a:xfrm>
        <a:prstGeom prst="roundRect">
          <a:avLst/>
        </a:prstGeom>
        <a:solidFill>
          <a:schemeClr val="accent2"/>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r>
            <a:rPr lang="en-IN" sz="1100" b="0" cap="none" spc="0">
              <a:ln w="0"/>
              <a:solidFill>
                <a:schemeClr val="accent1"/>
              </a:solidFill>
              <a:effectLst>
                <a:outerShdw blurRad="38100" dist="25400" dir="5400000" algn="ctr" rotWithShape="0">
                  <a:srgbClr val="6E747A">
                    <a:alpha val="43000"/>
                  </a:srgbClr>
                </a:outerShdw>
              </a:effectLst>
            </a:rPr>
            <a:t>TOTAL PATIENTS</a:t>
          </a:r>
        </a:p>
        <a:p>
          <a:pPr algn="l"/>
          <a:r>
            <a:rPr lang="en-IN" sz="1100" b="0" cap="none" spc="0">
              <a:ln w="0"/>
              <a:solidFill>
                <a:schemeClr val="accent1"/>
              </a:solidFill>
              <a:effectLst>
                <a:outerShdw blurRad="38100" dist="25400" dir="5400000" algn="ctr" rotWithShape="0">
                  <a:srgbClr val="6E747A">
                    <a:alpha val="43000"/>
                  </a:srgbClr>
                </a:outerShdw>
              </a:effectLst>
            </a:rPr>
            <a:t>                         50</a:t>
          </a:r>
        </a:p>
      </xdr:txBody>
    </xdr:sp>
    <xdr:clientData/>
  </xdr:twoCellAnchor>
  <xdr:twoCellAnchor>
    <xdr:from>
      <xdr:col>11</xdr:col>
      <xdr:colOff>91440</xdr:colOff>
      <xdr:row>3</xdr:row>
      <xdr:rowOff>0</xdr:rowOff>
    </xdr:from>
    <xdr:to>
      <xdr:col>15</xdr:col>
      <xdr:colOff>30480</xdr:colOff>
      <xdr:row>7</xdr:row>
      <xdr:rowOff>30480</xdr:rowOff>
    </xdr:to>
    <xdr:sp macro="" textlink="">
      <xdr:nvSpPr>
        <xdr:cNvPr id="10" name="Rectangle: Rounded Corners 9">
          <a:extLst>
            <a:ext uri="{FF2B5EF4-FFF2-40B4-BE49-F238E27FC236}">
              <a16:creationId xmlns:a16="http://schemas.microsoft.com/office/drawing/2014/main" id="{B39F5A5B-F7A6-E92C-CD83-6D85DF5D9D23}"/>
            </a:ext>
          </a:extLst>
        </xdr:cNvPr>
        <xdr:cNvSpPr/>
      </xdr:nvSpPr>
      <xdr:spPr>
        <a:xfrm>
          <a:off x="8054340" y="891540"/>
          <a:ext cx="2377440" cy="762000"/>
        </a:xfrm>
        <a:prstGeom prst="roundRect">
          <a:avLst/>
        </a:prstGeom>
        <a:solidFill>
          <a:schemeClr val="accent2"/>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r>
            <a:rPr lang="en-IN" sz="1100" b="0" cap="none" spc="0">
              <a:ln w="0"/>
              <a:solidFill>
                <a:schemeClr val="accent1"/>
              </a:solidFill>
              <a:effectLst>
                <a:outerShdw blurRad="38100" dist="25400" dir="5400000" algn="ctr" rotWithShape="0">
                  <a:srgbClr val="6E747A">
                    <a:alpha val="43000"/>
                  </a:srgbClr>
                </a:outerShdw>
              </a:effectLst>
            </a:rPr>
            <a:t>TOTAL REVENUE</a:t>
          </a:r>
        </a:p>
        <a:p>
          <a:pPr algn="l"/>
          <a:r>
            <a:rPr lang="en-IN" sz="1100" b="0" cap="none" spc="0" baseline="0">
              <a:ln w="0"/>
              <a:solidFill>
                <a:schemeClr val="accent1"/>
              </a:solidFill>
              <a:effectLst>
                <a:outerShdw blurRad="38100" dist="25400" dir="5400000" algn="ctr" rotWithShape="0">
                  <a:srgbClr val="6E747A">
                    <a:alpha val="43000"/>
                  </a:srgbClr>
                </a:outerShdw>
              </a:effectLst>
            </a:rPr>
            <a:t>                         </a:t>
          </a:r>
          <a:r>
            <a:rPr lang="en-IN" sz="1100" b="0" cap="none" spc="0">
              <a:ln w="0"/>
              <a:solidFill>
                <a:schemeClr val="accent1"/>
              </a:solidFill>
              <a:effectLst>
                <a:outerShdw blurRad="38100" dist="25400" dir="5400000" algn="ctr" rotWithShape="0">
                  <a:srgbClr val="6E747A">
                    <a:alpha val="43000"/>
                  </a:srgbClr>
                </a:outerShdw>
              </a:effectLst>
            </a:rPr>
            <a:t>=</a:t>
          </a:r>
          <a:r>
            <a:rPr lang="en-IN" sz="1100" b="0" i="0" u="none" strike="noStrike" cap="none" spc="0">
              <a:ln w="0"/>
              <a:solidFill>
                <a:schemeClr val="accent1"/>
              </a:solidFill>
              <a:effectLst>
                <a:outerShdw blurRad="38100" dist="25400" dir="5400000" algn="ctr" rotWithShape="0">
                  <a:srgbClr val="6E747A">
                    <a:alpha val="43000"/>
                  </a:srgbClr>
                </a:outerShdw>
              </a:effectLst>
              <a:latin typeface="+mn-lt"/>
              <a:ea typeface="+mn-ea"/>
              <a:cs typeface="+mn-cs"/>
            </a:rPr>
            <a:t>1185100</a:t>
          </a:r>
          <a:r>
            <a:rPr lang="en-IN" b="0" cap="none" spc="0">
              <a:ln w="0"/>
              <a:solidFill>
                <a:schemeClr val="accent1"/>
              </a:solidFill>
              <a:effectLst>
                <a:outerShdw blurRad="38100" dist="25400" dir="5400000" algn="ctr" rotWithShape="0">
                  <a:srgbClr val="6E747A">
                    <a:alpha val="43000"/>
                  </a:srgbClr>
                </a:outerShdw>
              </a:effectLst>
            </a:rPr>
            <a:t> </a:t>
          </a:r>
          <a:endParaRPr lang="en-IN" sz="1100" b="0" cap="none" spc="0">
            <a:ln w="0"/>
            <a:solidFill>
              <a:schemeClr val="accent1"/>
            </a:solidFill>
            <a:effectLst>
              <a:outerShdw blurRad="38100" dist="25400" dir="5400000" algn="ctr" rotWithShape="0">
                <a:srgbClr val="6E747A">
                  <a:alpha val="43000"/>
                </a:srgbClr>
              </a:outerShdw>
            </a:effectLst>
          </a:endParaRPr>
        </a:p>
        <a:p>
          <a:pPr algn="l"/>
          <a:endParaRPr lang="en-IN" sz="1100"/>
        </a:p>
      </xdr:txBody>
    </xdr:sp>
    <xdr:clientData/>
  </xdr:twoCellAnchor>
  <xdr:twoCellAnchor editAs="oneCell">
    <xdr:from>
      <xdr:col>17</xdr:col>
      <xdr:colOff>0</xdr:colOff>
      <xdr:row>13</xdr:row>
      <xdr:rowOff>0</xdr:rowOff>
    </xdr:from>
    <xdr:to>
      <xdr:col>20</xdr:col>
      <xdr:colOff>0</xdr:colOff>
      <xdr:row>26</xdr:row>
      <xdr:rowOff>89535</xdr:rowOff>
    </xdr:to>
    <mc:AlternateContent xmlns:mc="http://schemas.openxmlformats.org/markup-compatibility/2006" xmlns:a14="http://schemas.microsoft.com/office/drawing/2010/main">
      <mc:Choice Requires="a14">
        <xdr:graphicFrame macro="">
          <xdr:nvGraphicFramePr>
            <xdr:cNvPr id="15" name="GENDER 1">
              <a:extLst>
                <a:ext uri="{FF2B5EF4-FFF2-40B4-BE49-F238E27FC236}">
                  <a16:creationId xmlns:a16="http://schemas.microsoft.com/office/drawing/2014/main" id="{3C0B3064-5EA4-4337-AB43-78333FA6C8D8}"/>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1620500" y="27203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0</xdr:colOff>
      <xdr:row>28</xdr:row>
      <xdr:rowOff>0</xdr:rowOff>
    </xdr:from>
    <xdr:to>
      <xdr:col>20</xdr:col>
      <xdr:colOff>0</xdr:colOff>
      <xdr:row>41</xdr:row>
      <xdr:rowOff>89535</xdr:rowOff>
    </xdr:to>
    <mc:AlternateContent xmlns:mc="http://schemas.openxmlformats.org/markup-compatibility/2006" xmlns:a14="http://schemas.microsoft.com/office/drawing/2010/main">
      <mc:Choice Requires="a14">
        <xdr:graphicFrame macro="">
          <xdr:nvGraphicFramePr>
            <xdr:cNvPr id="16" name="DEPARTMENT 1">
              <a:extLst>
                <a:ext uri="{FF2B5EF4-FFF2-40B4-BE49-F238E27FC236}">
                  <a16:creationId xmlns:a16="http://schemas.microsoft.com/office/drawing/2014/main" id="{75086C1E-1921-43F6-9AE0-C824C2FC4483}"/>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1620500" y="54635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0</xdr:colOff>
      <xdr:row>43</xdr:row>
      <xdr:rowOff>0</xdr:rowOff>
    </xdr:from>
    <xdr:to>
      <xdr:col>20</xdr:col>
      <xdr:colOff>0</xdr:colOff>
      <xdr:row>56</xdr:row>
      <xdr:rowOff>89535</xdr:rowOff>
    </xdr:to>
    <mc:AlternateContent xmlns:mc="http://schemas.openxmlformats.org/markup-compatibility/2006" xmlns:a14="http://schemas.microsoft.com/office/drawing/2010/main">
      <mc:Choice Requires="a14">
        <xdr:graphicFrame macro="">
          <xdr:nvGraphicFramePr>
            <xdr:cNvPr id="18" name="INSURANCE TYPE 2">
              <a:extLst>
                <a:ext uri="{FF2B5EF4-FFF2-40B4-BE49-F238E27FC236}">
                  <a16:creationId xmlns:a16="http://schemas.microsoft.com/office/drawing/2014/main" id="{0D4DA579-D6FA-42B6-A751-0BD5667C24D8}"/>
                </a:ext>
              </a:extLst>
            </xdr:cNvPr>
            <xdr:cNvGraphicFramePr/>
          </xdr:nvGraphicFramePr>
          <xdr:xfrm>
            <a:off x="0" y="0"/>
            <a:ext cx="0" cy="0"/>
          </xdr:xfrm>
          <a:graphic>
            <a:graphicData uri="http://schemas.microsoft.com/office/drawing/2010/slicer">
              <sle:slicer xmlns:sle="http://schemas.microsoft.com/office/drawing/2010/slicer" name="INSURANCE TYPE 2"/>
            </a:graphicData>
          </a:graphic>
        </xdr:graphicFrame>
      </mc:Choice>
      <mc:Fallback xmlns="">
        <xdr:sp macro="" textlink="">
          <xdr:nvSpPr>
            <xdr:cNvPr id="0" name=""/>
            <xdr:cNvSpPr>
              <a:spLocks noTextEdit="1"/>
            </xdr:cNvSpPr>
          </xdr:nvSpPr>
          <xdr:spPr>
            <a:xfrm>
              <a:off x="11620500" y="82067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New\Documents\HOSPITALDATASETCSV.csv" TargetMode="External"/><Relationship Id="rId1" Type="http://schemas.openxmlformats.org/officeDocument/2006/relationships/externalLinkPath" Target="HOSPITALDATASETCSV.csv"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EPARTMENT REVENUECSV"/>
      <sheetName val="Sheet6"/>
      <sheetName val="PIVOT TABLE"/>
      <sheetName val="INSURANCE ANALYSIS"/>
      <sheetName val="MONTHLY ADMISSION"/>
      <sheetName val="PATIENTCOUNT"/>
      <sheetName val="AVERAGESTAY"/>
    </sheetNames>
    <sheetDataSet>
      <sheetData sheetId="0">
        <row r="1">
          <cell r="B1" t="str">
            <v>Total_Revenue</v>
          </cell>
        </row>
        <row r="2">
          <cell r="A2" t="str">
            <v>Emergency</v>
          </cell>
          <cell r="B2">
            <v>414000</v>
          </cell>
        </row>
        <row r="3">
          <cell r="A3" t="str">
            <v>ICU</v>
          </cell>
          <cell r="B3">
            <v>247000</v>
          </cell>
        </row>
        <row r="4">
          <cell r="A4" t="str">
            <v>Physiotherapy</v>
          </cell>
          <cell r="B4">
            <v>194000</v>
          </cell>
        </row>
        <row r="5">
          <cell r="A5" t="str">
            <v>General Surgery</v>
          </cell>
          <cell r="B5">
            <v>94500</v>
          </cell>
        </row>
        <row r="6">
          <cell r="A6" t="str">
            <v>Neurology</v>
          </cell>
          <cell r="B6">
            <v>86500</v>
          </cell>
        </row>
        <row r="7">
          <cell r="A7" t="str">
            <v>Cardiology</v>
          </cell>
          <cell r="B7">
            <v>56400</v>
          </cell>
        </row>
        <row r="8">
          <cell r="A8" t="str">
            <v>Pediatrics</v>
          </cell>
          <cell r="B8">
            <v>26000</v>
          </cell>
        </row>
        <row r="9">
          <cell r="A9" t="str">
            <v>Dermatology</v>
          </cell>
          <cell r="B9">
            <v>24700</v>
          </cell>
        </row>
        <row r="10">
          <cell r="A10" t="str">
            <v>Dental</v>
          </cell>
          <cell r="B10">
            <v>23000</v>
          </cell>
        </row>
        <row r="11">
          <cell r="A11" t="str">
            <v>General</v>
          </cell>
          <cell r="B11">
            <v>12000</v>
          </cell>
        </row>
        <row r="12">
          <cell r="A12" t="str">
            <v>Orthopedics</v>
          </cell>
          <cell r="B12">
            <v>7000</v>
          </cell>
        </row>
      </sheetData>
      <sheetData sheetId="1" refreshError="1"/>
      <sheetData sheetId="2" refreshError="1"/>
      <sheetData sheetId="3">
        <row r="1">
          <cell r="B1" t="str">
            <v>Total_Patients</v>
          </cell>
        </row>
        <row r="2">
          <cell r="A2" t="str">
            <v>Self-pay</v>
          </cell>
          <cell r="B2">
            <v>23</v>
          </cell>
        </row>
        <row r="3">
          <cell r="A3" t="str">
            <v>Government</v>
          </cell>
          <cell r="B3">
            <v>16</v>
          </cell>
        </row>
        <row r="4">
          <cell r="A4" t="str">
            <v>Insured</v>
          </cell>
          <cell r="B4">
            <v>10</v>
          </cell>
        </row>
        <row r="5">
          <cell r="A5" t="str">
            <v>No Fees</v>
          </cell>
          <cell r="B5">
            <v>1</v>
          </cell>
        </row>
      </sheetData>
      <sheetData sheetId="4">
        <row r="1">
          <cell r="B1" t="str">
            <v>Total_Admissions</v>
          </cell>
        </row>
        <row r="2">
          <cell r="A2" t="str">
            <v>2026-05</v>
          </cell>
          <cell r="B2">
            <v>10</v>
          </cell>
        </row>
        <row r="3">
          <cell r="A3" t="str">
            <v>2026-06</v>
          </cell>
          <cell r="B3">
            <v>10</v>
          </cell>
        </row>
        <row r="4">
          <cell r="A4" t="str">
            <v>2026-07</v>
          </cell>
          <cell r="B4">
            <v>10</v>
          </cell>
        </row>
        <row r="5">
          <cell r="A5" t="str">
            <v>2026-08</v>
          </cell>
          <cell r="B5">
            <v>10</v>
          </cell>
        </row>
        <row r="6">
          <cell r="A6" t="str">
            <v>2026-09</v>
          </cell>
          <cell r="B6">
            <v>10</v>
          </cell>
        </row>
      </sheetData>
      <sheetData sheetId="5">
        <row r="1">
          <cell r="B1" t="str">
            <v>Total_Patients</v>
          </cell>
        </row>
        <row r="2">
          <cell r="A2" t="str">
            <v>ICU</v>
          </cell>
          <cell r="B2">
            <v>6</v>
          </cell>
        </row>
        <row r="3">
          <cell r="A3" t="str">
            <v>Emergency</v>
          </cell>
          <cell r="B3">
            <v>6</v>
          </cell>
        </row>
        <row r="4">
          <cell r="A4" t="str">
            <v>Dermatology</v>
          </cell>
          <cell r="B4">
            <v>5</v>
          </cell>
        </row>
        <row r="5">
          <cell r="A5" t="str">
            <v>Pediatrics</v>
          </cell>
          <cell r="B5">
            <v>5</v>
          </cell>
        </row>
        <row r="6">
          <cell r="A6" t="str">
            <v>Neurology</v>
          </cell>
          <cell r="B6">
            <v>5</v>
          </cell>
        </row>
        <row r="7">
          <cell r="A7" t="str">
            <v>Dental</v>
          </cell>
          <cell r="B7">
            <v>5</v>
          </cell>
        </row>
        <row r="8">
          <cell r="A8" t="str">
            <v>Physiotherapy</v>
          </cell>
          <cell r="B8">
            <v>5</v>
          </cell>
        </row>
        <row r="9">
          <cell r="A9" t="str">
            <v>General Surgery</v>
          </cell>
          <cell r="B9">
            <v>5</v>
          </cell>
        </row>
        <row r="10">
          <cell r="A10" t="str">
            <v>General</v>
          </cell>
          <cell r="B10">
            <v>4</v>
          </cell>
        </row>
        <row r="11">
          <cell r="A11" t="str">
            <v>Cardiology</v>
          </cell>
          <cell r="B11">
            <v>3</v>
          </cell>
        </row>
        <row r="12">
          <cell r="A12" t="str">
            <v>Orthopedics</v>
          </cell>
          <cell r="B12">
            <v>1</v>
          </cell>
        </row>
      </sheetData>
      <sheetData sheetId="6"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w" refreshedDate="46308.385275578701" createdVersion="8" refreshedVersion="8" minRefreshableVersion="3" recordCount="50" xr:uid="{3E77E407-5960-4DFE-AD36-0BB5C4EB358B}">
  <cacheSource type="worksheet">
    <worksheetSource ref="A2:K52" sheet="Sheet1"/>
  </cacheSource>
  <cacheFields count="11">
    <cacheField name="PATIENT ID" numFmtId="0">
      <sharedItems containsSemiMixedTypes="0" containsString="0" containsNumber="1" containsInteger="1" minValue="1" maxValue="50"/>
    </cacheField>
    <cacheField name="NAME" numFmtId="0">
      <sharedItems/>
    </cacheField>
    <cacheField name="AGE" numFmtId="0">
      <sharedItems containsSemiMixedTypes="0" containsString="0" containsNumber="1" containsInteger="1" minValue="25" maxValue="67"/>
    </cacheField>
    <cacheField name="GENDER" numFmtId="0">
      <sharedItems count="2">
        <s v="Male"/>
        <s v="Female"/>
      </sharedItems>
    </cacheField>
    <cacheField name="ADMISSION_DATE" numFmtId="14">
      <sharedItems containsSemiMixedTypes="0" containsNonDate="0" containsDate="1" containsString="0" minDate="2026-05-01T00:00:00" maxDate="2026-09-21T00:00:00"/>
    </cacheField>
    <cacheField name="DISCHARGE_DATE" numFmtId="14">
      <sharedItems containsSemiMixedTypes="0" containsNonDate="0" containsDate="1" containsString="0" minDate="2026-05-07T00:00:00" maxDate="2026-09-28T00:00:00"/>
    </cacheField>
    <cacheField name="DEPARTMENT" numFmtId="0">
      <sharedItems count="11">
        <s v="Orthopedics"/>
        <s v="Cardiology"/>
        <s v="General"/>
        <s v="ICU"/>
        <s v="Emergency"/>
        <s v="Dermatology"/>
        <s v="Pediatrics"/>
        <s v="Neurology"/>
        <s v="Dental"/>
        <s v="Physiotherapy"/>
        <s v="General Surgery"/>
      </sharedItems>
    </cacheField>
    <cacheField name="DOCTOR_ASSIGNED" numFmtId="0">
      <sharedItems/>
    </cacheField>
    <cacheField name="DIAGNOSIS" numFmtId="0">
      <sharedItems/>
    </cacheField>
    <cacheField name="BILLING_AMOUNT" numFmtId="0">
      <sharedItems containsSemiMixedTypes="0" containsString="0" containsNumber="1" containsInteger="1" minValue="2000" maxValue="89000"/>
    </cacheField>
    <cacheField name="INSURANCE TYPE" numFmtId="0">
      <sharedItems count="4">
        <s v="Self-pay"/>
        <s v="Insured"/>
        <s v="No Fees"/>
        <s v="Government"/>
      </sharedItems>
    </cacheField>
  </cacheFields>
  <extLst>
    <ext xmlns:x14="http://schemas.microsoft.com/office/spreadsheetml/2009/9/main" uri="{725AE2AE-9491-48be-B2B4-4EB974FC3084}">
      <x14:pivotCacheDefinition pivotCacheId="12973708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1"/>
    <s v="Arjun"/>
    <n v="30"/>
    <x v="0"/>
    <d v="2026-05-01T00:00:00"/>
    <d v="2026-05-07T00:00:00"/>
    <x v="0"/>
    <s v="Dr.Mani"/>
    <s v="Back Pain"/>
    <n v="7000"/>
    <x v="0"/>
  </r>
  <r>
    <n v="2"/>
    <s v="Priya S"/>
    <n v="35"/>
    <x v="1"/>
    <d v="2026-05-03T00:00:00"/>
    <d v="2026-05-09T00:00:00"/>
    <x v="1"/>
    <s v="Dr.Raj"/>
    <s v="Chest Pain"/>
    <n v="7500"/>
    <x v="1"/>
  </r>
  <r>
    <n v="3"/>
    <s v="Dhanush S"/>
    <n v="40"/>
    <x v="0"/>
    <d v="2026-05-05T00:00:00"/>
    <d v="2026-05-08T00:00:00"/>
    <x v="2"/>
    <s v="Dr.Raja"/>
    <s v="Fever"/>
    <n v="5000"/>
    <x v="2"/>
  </r>
  <r>
    <n v="4"/>
    <s v="Divya M"/>
    <n v="45"/>
    <x v="1"/>
    <d v="2026-05-07T00:00:00"/>
    <d v="2026-05-12T00:00:00"/>
    <x v="3"/>
    <s v="Dr.Prema"/>
    <s v="Heart Attack"/>
    <n v="50000"/>
    <x v="3"/>
  </r>
  <r>
    <n v="5"/>
    <s v="Karthik P"/>
    <n v="60"/>
    <x v="0"/>
    <d v="2026-05-09T00:00:00"/>
    <d v="2026-05-14T00:00:00"/>
    <x v="4"/>
    <s v="Dr.prakash"/>
    <s v="Accident Injury"/>
    <n v="75000"/>
    <x v="1"/>
  </r>
  <r>
    <n v="6"/>
    <s v="Nithya K"/>
    <n v="45"/>
    <x v="1"/>
    <d v="2026-05-11T00:00:00"/>
    <d v="2026-05-13T00:00:00"/>
    <x v="5"/>
    <s v="Dr.Rahul"/>
    <s v="Skin Allergy"/>
    <n v="5000"/>
    <x v="0"/>
  </r>
  <r>
    <n v="7"/>
    <s v="Sanjay V"/>
    <n v="29"/>
    <x v="0"/>
    <d v="2026-05-13T00:00:00"/>
    <d v="2026-05-17T00:00:00"/>
    <x v="6"/>
    <s v="Dr.Dravid"/>
    <s v="Childhood Infection"/>
    <n v="6000"/>
    <x v="0"/>
  </r>
  <r>
    <n v="8"/>
    <s v="Harini R"/>
    <n v="35"/>
    <x v="1"/>
    <d v="2026-05-18T00:00:00"/>
    <d v="2026-05-25T00:00:00"/>
    <x v="7"/>
    <s v="Dr.Kumar"/>
    <s v="Stroke"/>
    <n v="9000"/>
    <x v="3"/>
  </r>
  <r>
    <n v="9"/>
    <s v="Gokul S"/>
    <n v="34"/>
    <x v="0"/>
    <d v="2026-05-19T00:00:00"/>
    <d v="2026-05-26T00:00:00"/>
    <x v="8"/>
    <s v="Dr.Velan"/>
    <s v="Gum Infection"/>
    <n v="10000"/>
    <x v="1"/>
  </r>
  <r>
    <n v="10"/>
    <s v="Keerthana P"/>
    <n v="36"/>
    <x v="1"/>
    <d v="2026-05-20T00:00:00"/>
    <d v="2026-05-27T00:00:00"/>
    <x v="9"/>
    <s v="Dr.Ramesh"/>
    <s v="Shoulder Pain"/>
    <n v="4000"/>
    <x v="0"/>
  </r>
  <r>
    <n v="11"/>
    <s v="Ajay Kumar"/>
    <n v="40"/>
    <x v="0"/>
    <d v="2026-06-01T00:00:00"/>
    <d v="2026-06-07T00:00:00"/>
    <x v="10"/>
    <s v="Dr.Kannan"/>
    <s v="Gallstones"/>
    <n v="4500"/>
    <x v="3"/>
  </r>
  <r>
    <n v="12"/>
    <s v="Haseena M"/>
    <n v="67"/>
    <x v="1"/>
    <d v="2026-06-03T00:00:00"/>
    <d v="2026-06-09T00:00:00"/>
    <x v="1"/>
    <s v="Dr.Raj"/>
    <s v="Chest Pain"/>
    <n v="8900"/>
    <x v="1"/>
  </r>
  <r>
    <n v="13"/>
    <s v="Dinesh R"/>
    <n v="50"/>
    <x v="0"/>
    <d v="2026-06-05T00:00:00"/>
    <d v="2026-06-08T00:00:00"/>
    <x v="2"/>
    <s v="Dr.Raja"/>
    <s v="Fever"/>
    <n v="2000"/>
    <x v="0"/>
  </r>
  <r>
    <n v="14"/>
    <s v="Anitha S"/>
    <n v="40"/>
    <x v="1"/>
    <d v="2026-06-07T00:00:00"/>
    <d v="2026-06-12T00:00:00"/>
    <x v="3"/>
    <s v="Dr.Prema"/>
    <s v="Critical Injury"/>
    <n v="60000"/>
    <x v="3"/>
  </r>
  <r>
    <n v="15"/>
    <s v="Rahul P"/>
    <n v="37"/>
    <x v="0"/>
    <d v="2026-06-09T00:00:00"/>
    <d v="2026-06-14T00:00:00"/>
    <x v="4"/>
    <s v="Dr.prakash"/>
    <s v="Poisoning"/>
    <n v="70000"/>
    <x v="1"/>
  </r>
  <r>
    <n v="16"/>
    <s v="Meena K"/>
    <n v="38"/>
    <x v="1"/>
    <d v="2026-06-11T00:00:00"/>
    <d v="2026-06-13T00:00:00"/>
    <x v="5"/>
    <s v="Dr.Rahul"/>
    <s v="Skin Infection"/>
    <n v="5000"/>
    <x v="0"/>
  </r>
  <r>
    <n v="17"/>
    <s v="Vijay S"/>
    <n v="39"/>
    <x v="0"/>
    <d v="2026-06-13T00:00:00"/>
    <d v="2026-06-17T00:00:00"/>
    <x v="6"/>
    <s v="Dr.Dravid"/>
    <s v="Asthma"/>
    <n v="7000"/>
    <x v="0"/>
  </r>
  <r>
    <n v="18"/>
    <s v="Lavanya R"/>
    <n v="30"/>
    <x v="1"/>
    <d v="2026-06-18T00:00:00"/>
    <d v="2026-06-25T00:00:00"/>
    <x v="7"/>
    <s v="Dr.Kumar"/>
    <s v="Neuropathy"/>
    <n v="6000"/>
    <x v="0"/>
  </r>
  <r>
    <n v="19"/>
    <s v="Manoj T"/>
    <n v="36"/>
    <x v="0"/>
    <d v="2026-06-19T00:00:00"/>
    <d v="2026-06-26T00:00:00"/>
    <x v="8"/>
    <s v="Dr.Velan"/>
    <s v="Wisdom Tooth"/>
    <n v="4000"/>
    <x v="3"/>
  </r>
  <r>
    <n v="20"/>
    <s v="Pooja M"/>
    <n v="35"/>
    <x v="1"/>
    <d v="2026-06-20T00:00:00"/>
    <d v="2026-06-27T00:00:00"/>
    <x v="9"/>
    <s v="Dr.Ramesh"/>
    <s v="Sports Injury"/>
    <n v="40000"/>
    <x v="1"/>
  </r>
  <r>
    <n v="21"/>
    <s v="Manish N"/>
    <n v="33"/>
    <x v="0"/>
    <d v="2026-07-01T00:00:00"/>
    <d v="2026-07-07T00:00:00"/>
    <x v="10"/>
    <s v="Dr.Kannan"/>
    <s v="Abdominal Pain"/>
    <n v="25000"/>
    <x v="0"/>
  </r>
  <r>
    <n v="22"/>
    <s v="Mahi B"/>
    <n v="44"/>
    <x v="0"/>
    <d v="2026-07-03T00:00:00"/>
    <d v="2026-07-09T00:00:00"/>
    <x v="2"/>
    <s v="Dr.Raja"/>
    <s v="Cold"/>
    <n v="3000"/>
    <x v="0"/>
  </r>
  <r>
    <n v="23"/>
    <s v="Dhoni V"/>
    <n v="45"/>
    <x v="0"/>
    <d v="2026-07-05T00:00:00"/>
    <d v="2026-07-08T00:00:00"/>
    <x v="3"/>
    <s v="Dr.Prema"/>
    <s v="Severe Infection"/>
    <n v="70000"/>
    <x v="3"/>
  </r>
  <r>
    <n v="24"/>
    <s v="Smith S"/>
    <n v="40"/>
    <x v="0"/>
    <d v="2026-07-07T00:00:00"/>
    <d v="2026-07-12T00:00:00"/>
    <x v="4"/>
    <s v="Dr.prakashkumar"/>
    <s v="Poisoning"/>
    <n v="80000"/>
    <x v="0"/>
  </r>
  <r>
    <n v="25"/>
    <s v="Kaur s"/>
    <n v="37"/>
    <x v="1"/>
    <d v="2026-07-09T00:00:00"/>
    <d v="2026-07-14T00:00:00"/>
    <x v="5"/>
    <s v="Dr.Rahul"/>
    <s v="Skin Allergy"/>
    <n v="5700"/>
    <x v="3"/>
  </r>
  <r>
    <n v="26"/>
    <s v="Richa D"/>
    <n v="26"/>
    <x v="1"/>
    <d v="2026-07-11T00:00:00"/>
    <d v="2026-07-13T00:00:00"/>
    <x v="6"/>
    <s v="Dr.Dravid"/>
    <s v="Asthma"/>
    <n v="7000"/>
    <x v="0"/>
  </r>
  <r>
    <n v="27"/>
    <s v="Gowtham A"/>
    <n v="25"/>
    <x v="0"/>
    <d v="2026-07-13T00:00:00"/>
    <d v="2026-07-17T00:00:00"/>
    <x v="7"/>
    <s v="Dr.Kumar"/>
    <s v="Migraine"/>
    <n v="8000"/>
    <x v="3"/>
  </r>
  <r>
    <n v="28"/>
    <s v="Shankar F"/>
    <n v="37"/>
    <x v="0"/>
    <d v="2026-07-18T00:00:00"/>
    <d v="2026-07-25T00:00:00"/>
    <x v="8"/>
    <s v="Dr.Velan"/>
    <s v="Wisdom Tooth"/>
    <n v="3000"/>
    <x v="0"/>
  </r>
  <r>
    <n v="29"/>
    <s v="Swaminathan M"/>
    <n v="40"/>
    <x v="0"/>
    <d v="2026-07-19T00:00:00"/>
    <d v="2026-07-26T00:00:00"/>
    <x v="9"/>
    <s v="Dr.Ramesh"/>
    <s v="Sports Injury"/>
    <n v="50000"/>
    <x v="3"/>
  </r>
  <r>
    <n v="30"/>
    <s v="Murugan M"/>
    <n v="45"/>
    <x v="0"/>
    <d v="2026-07-20T00:00:00"/>
    <d v="2026-07-27T00:00:00"/>
    <x v="10"/>
    <s v="Dr.Kannan"/>
    <s v="Abdominal Pain"/>
    <n v="20000"/>
    <x v="0"/>
  </r>
  <r>
    <n v="31"/>
    <s v="Sneha M"/>
    <n v="37"/>
    <x v="1"/>
    <d v="2026-08-01T00:00:00"/>
    <d v="2026-08-07T00:00:00"/>
    <x v="3"/>
    <s v="Dr.Prema"/>
    <s v="Severe Infection"/>
    <n v="7000"/>
    <x v="3"/>
  </r>
  <r>
    <n v="32"/>
    <s v="Mukesh D"/>
    <n v="56"/>
    <x v="0"/>
    <d v="2026-08-03T00:00:00"/>
    <d v="2026-08-09T00:00:00"/>
    <x v="4"/>
    <s v="Dr.prakash"/>
    <s v="Critical Injury"/>
    <n v="89000"/>
    <x v="3"/>
  </r>
  <r>
    <n v="33"/>
    <s v="Rooth A"/>
    <n v="28"/>
    <x v="1"/>
    <d v="2026-08-05T00:00:00"/>
    <d v="2026-08-08T00:00:00"/>
    <x v="5"/>
    <s v="Dr.Rahul"/>
    <s v="Skin Infection"/>
    <n v="5000"/>
    <x v="0"/>
  </r>
  <r>
    <n v="34"/>
    <s v="Salma S"/>
    <n v="32"/>
    <x v="1"/>
    <d v="2026-08-07T00:00:00"/>
    <d v="2026-08-12T00:00:00"/>
    <x v="6"/>
    <s v="Dr.Dravid"/>
    <s v="Asthma"/>
    <n v="3000"/>
    <x v="0"/>
  </r>
  <r>
    <n v="35"/>
    <s v="Amala S"/>
    <n v="33"/>
    <x v="1"/>
    <d v="2026-08-09T00:00:00"/>
    <d v="2026-08-14T00:00:00"/>
    <x v="7"/>
    <s v="Dr.Kumar"/>
    <s v="Migraine"/>
    <n v="60000"/>
    <x v="3"/>
  </r>
  <r>
    <n v="36"/>
    <s v="Jothi H"/>
    <n v="29"/>
    <x v="1"/>
    <d v="2026-08-11T00:00:00"/>
    <d v="2026-08-13T00:00:00"/>
    <x v="8"/>
    <s v="Dr.Velan"/>
    <s v="Wisdom Tooth"/>
    <n v="3000"/>
    <x v="0"/>
  </r>
  <r>
    <n v="37"/>
    <s v="Sharvin R"/>
    <n v="37"/>
    <x v="0"/>
    <d v="2026-08-13T00:00:00"/>
    <d v="2026-08-17T00:00:00"/>
    <x v="9"/>
    <s v="Dr.Ramesh"/>
    <s v="Sports Injury"/>
    <n v="50000"/>
    <x v="3"/>
  </r>
  <r>
    <n v="38"/>
    <s v="Varun S"/>
    <n v="28"/>
    <x v="0"/>
    <d v="2026-08-18T00:00:00"/>
    <d v="2026-08-25T00:00:00"/>
    <x v="10"/>
    <s v="Dr.Kannan"/>
    <s v="Abdominal Pain"/>
    <n v="20000"/>
    <x v="0"/>
  </r>
  <r>
    <n v="39"/>
    <s v="Vasu L"/>
    <n v="30"/>
    <x v="0"/>
    <d v="2026-08-19T00:00:00"/>
    <d v="2026-08-26T00:00:00"/>
    <x v="1"/>
    <s v="Dr.Raj"/>
    <s v="Chest Pain"/>
    <n v="40000"/>
    <x v="1"/>
  </r>
  <r>
    <n v="40"/>
    <s v="Hema B"/>
    <n v="34"/>
    <x v="1"/>
    <d v="2026-08-20T00:00:00"/>
    <d v="2026-08-09T00:00:00"/>
    <x v="2"/>
    <s v="Dr.Raja"/>
    <s v="Fever"/>
    <n v="2000"/>
    <x v="0"/>
  </r>
  <r>
    <n v="41"/>
    <s v="Raj J "/>
    <n v="31"/>
    <x v="0"/>
    <d v="2026-09-01T00:00:00"/>
    <d v="2026-09-07T00:00:00"/>
    <x v="3"/>
    <s v="Dr.Prema"/>
    <s v="Severe Infection"/>
    <n v="10000"/>
    <x v="3"/>
  </r>
  <r>
    <n v="42"/>
    <s v="Prakash R"/>
    <n v="33"/>
    <x v="0"/>
    <d v="2026-09-03T00:00:00"/>
    <d v="2026-08-09T00:00:00"/>
    <x v="4"/>
    <s v="Dr.prakash"/>
    <s v="Critical Injury"/>
    <n v="40000"/>
    <x v="1"/>
  </r>
  <r>
    <n v="43"/>
    <s v="Kiruba M"/>
    <n v="34"/>
    <x v="0"/>
    <d v="2026-09-05T00:00:00"/>
    <d v="2026-09-08T00:00:00"/>
    <x v="7"/>
    <s v="Dr.Kumar"/>
    <s v="Migraine"/>
    <n v="3500"/>
    <x v="1"/>
  </r>
  <r>
    <n v="44"/>
    <s v="Karan K"/>
    <n v="31"/>
    <x v="0"/>
    <d v="2026-09-07T00:00:00"/>
    <d v="2026-09-12T00:00:00"/>
    <x v="8"/>
    <s v="Dr.Velan"/>
    <s v="Wisdom Tooth"/>
    <n v="3000"/>
    <x v="0"/>
  </r>
  <r>
    <n v="45"/>
    <s v="Simram M"/>
    <n v="37"/>
    <x v="1"/>
    <d v="2026-09-09T00:00:00"/>
    <d v="2026-09-14T00:00:00"/>
    <x v="9"/>
    <s v="Dr.Ramesh"/>
    <s v="Sports Injury"/>
    <n v="50000"/>
    <x v="3"/>
  </r>
  <r>
    <n v="46"/>
    <s v="Kasthuri B"/>
    <n v="38"/>
    <x v="1"/>
    <d v="2026-09-11T00:00:00"/>
    <d v="2026-09-13T00:00:00"/>
    <x v="10"/>
    <s v="Dr.Kannan"/>
    <s v="Gallstones"/>
    <n v="25000"/>
    <x v="1"/>
  </r>
  <r>
    <n v="47"/>
    <s v="Kamal R"/>
    <n v="40"/>
    <x v="0"/>
    <d v="2026-09-13T00:00:00"/>
    <d v="2026-09-17T00:00:00"/>
    <x v="3"/>
    <s v="Dr.Prema"/>
    <s v="Severe Infection"/>
    <n v="50000"/>
    <x v="0"/>
  </r>
  <r>
    <n v="48"/>
    <s v="Rajini L"/>
    <n v="65"/>
    <x v="0"/>
    <d v="2026-09-18T00:00:00"/>
    <d v="2026-08-25T00:00:00"/>
    <x v="4"/>
    <s v="Dr.prakash"/>
    <s v="Critical Injury"/>
    <n v="60000"/>
    <x v="3"/>
  </r>
  <r>
    <n v="49"/>
    <s v="Ajith N"/>
    <n v="53"/>
    <x v="0"/>
    <d v="2026-09-19T00:00:00"/>
    <d v="2026-09-26T00:00:00"/>
    <x v="5"/>
    <s v="Dr.Rahul"/>
    <s v="Skin Infection"/>
    <n v="4000"/>
    <x v="0"/>
  </r>
  <r>
    <n v="50"/>
    <s v="Rajesh A"/>
    <n v="29"/>
    <x v="0"/>
    <d v="2026-09-20T00:00:00"/>
    <d v="2026-09-27T00:00:00"/>
    <x v="6"/>
    <s v="Dr.Dravid"/>
    <s v="Asthma"/>
    <n v="300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4BDE98-E684-45F9-909C-7BDB565A0F9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5" firstHeaderRow="1" firstDataRow="1" firstDataCol="1"/>
  <pivotFields count="11">
    <pivotField showAll="0"/>
    <pivotField showAll="0"/>
    <pivotField showAll="0"/>
    <pivotField showAll="0">
      <items count="3">
        <item h="1" x="1"/>
        <item x="0"/>
        <item t="default"/>
      </items>
    </pivotField>
    <pivotField numFmtId="14" showAll="0"/>
    <pivotField numFmtId="14" showAll="0"/>
    <pivotField axis="axisRow" showAll="0">
      <items count="12">
        <item x="1"/>
        <item x="8"/>
        <item x="5"/>
        <item x="4"/>
        <item x="2"/>
        <item x="10"/>
        <item x="3"/>
        <item x="7"/>
        <item x="0"/>
        <item x="6"/>
        <item x="9"/>
        <item t="default"/>
      </items>
    </pivotField>
    <pivotField showAll="0"/>
    <pivotField showAll="0"/>
    <pivotField dataField="1" showAll="0"/>
    <pivotField showAll="0">
      <items count="5">
        <item x="3"/>
        <item x="1"/>
        <item x="2"/>
        <item x="0"/>
        <item t="default"/>
      </items>
    </pivotField>
  </pivotFields>
  <rowFields count="1">
    <field x="6"/>
  </rowFields>
  <rowItems count="12">
    <i>
      <x/>
    </i>
    <i>
      <x v="1"/>
    </i>
    <i>
      <x v="2"/>
    </i>
    <i>
      <x v="3"/>
    </i>
    <i>
      <x v="4"/>
    </i>
    <i>
      <x v="5"/>
    </i>
    <i>
      <x v="6"/>
    </i>
    <i>
      <x v="7"/>
    </i>
    <i>
      <x v="8"/>
    </i>
    <i>
      <x v="9"/>
    </i>
    <i>
      <x v="10"/>
    </i>
    <i t="grand">
      <x/>
    </i>
  </rowItems>
  <colItems count="1">
    <i/>
  </colItems>
  <dataFields count="1">
    <dataField name="Sum of BILLING_AMOU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CDA2B439-3A6A-4211-A7A7-6E7F1C392EF8}" sourceName="GENDER">
  <pivotTables>
    <pivotTable tabId="16" name="PivotTable3"/>
  </pivotTables>
  <data>
    <tabular pivotCacheId="1297370855">
      <items count="2">
        <i x="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4C032C45-E4D2-48E9-9630-9DD0FB1447A7}" sourceName="DEPARTMENT">
  <pivotTables>
    <pivotTable tabId="16" name="PivotTable3"/>
  </pivotTables>
  <data>
    <tabular pivotCacheId="1297370855">
      <items count="11">
        <i x="1" s="1"/>
        <i x="8" s="1"/>
        <i x="5" s="1"/>
        <i x="4" s="1"/>
        <i x="2" s="1"/>
        <i x="10" s="1"/>
        <i x="3" s="1"/>
        <i x="7" s="1"/>
        <i x="0" s="1"/>
        <i x="6" s="1"/>
        <i x="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URANCE_TYPE1" xr10:uid="{35BCCEDF-70B8-4742-BB33-AAB5FB19C0A1}" sourceName="INSURANCE TYPE">
  <pivotTables>
    <pivotTable tabId="16" name="PivotTable3"/>
  </pivotTables>
  <data>
    <tabular pivotCacheId="1297370855">
      <items count="4">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25E68F7-150B-4ED5-B155-317503C91E29}" cache="Slicer_GENDER1" caption="GENDER" rowHeight="234950"/>
  <slicer name="DEPARTMENT" xr10:uid="{7E7E0C95-9BFA-4B8C-9B67-3D05043C45EF}" cache="Slicer_DEPARTMENT1" caption="DEPARTMENT" rowHeight="234950"/>
  <slicer name="INSURANCE TYPE 1" xr10:uid="{B69F8051-36BB-44A9-9C4F-5896B2ACAE9E}" cache="Slicer_INSURANCE_TYPE1" caption="INSURANCE TYP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F8E55174-FB17-439F-92AE-C22482A734E2}" cache="Slicer_GENDER1" caption="GENDER" rowHeight="234950"/>
  <slicer name="DEPARTMENT 1" xr10:uid="{BDBA20E9-084F-408B-9F26-08E230B71EFA}" cache="Slicer_DEPARTMENT1" caption="DEPARTMENT" startItem="4" rowHeight="234950"/>
  <slicer name="INSURANCE TYPE 2" xr10:uid="{3AD29BB7-1CEF-40F8-8FA2-D6D2D5C7EC4E}" cache="Slicer_INSURANCE_TYPE1" caption="INSURANCE TYP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8307CD4-80E9-4786-A4FA-DE1D90457AD7}" name="Table1" displayName="Table1" ref="A2:L52" totalsRowShown="0" headerRowDxfId="0">
  <autoFilter ref="A2:L52" xr:uid="{C8307CD4-80E9-4786-A4FA-DE1D90457AD7}"/>
  <tableColumns count="12">
    <tableColumn id="1" xr3:uid="{C7171EE5-FE93-40A9-8582-BDDB75FDAB53}" name="PATIENT ID" dataDxfId="4"/>
    <tableColumn id="2" xr3:uid="{9676CAFB-DEC5-4A82-9222-E240377D600E}" name="NAME" dataDxfId="3"/>
    <tableColumn id="3" xr3:uid="{3080A985-AFC3-450F-A967-9CC042A1084A}" name="AGE"/>
    <tableColumn id="4" xr3:uid="{F8DD71A9-E0E6-45D0-B3AC-6A0E3515B8E7}" name="GENDER"/>
    <tableColumn id="5" xr3:uid="{F9FDAF17-1120-4ED6-9F11-4F750790EDA2}" name="ADMISSION_DATE" dataDxfId="2"/>
    <tableColumn id="6" xr3:uid="{F3D8E5E6-9658-473A-9622-D3CF63C1CFE1}" name="DISCHARGE_DATE" dataDxfId="1"/>
    <tableColumn id="7" xr3:uid="{58B764E6-1013-47FA-9B48-27773287A6C9}" name="DEPARTMENT"/>
    <tableColumn id="8" xr3:uid="{20D66B56-4607-41AA-8B8E-4B388811DD69}" name="DOCTOR_ASSIGNED"/>
    <tableColumn id="9" xr3:uid="{BB3DA31E-648E-491A-A7D1-7C99AF8414A1}" name="DIAGNOSIS"/>
    <tableColumn id="10" xr3:uid="{D1A12B74-CBCC-4E5C-A15E-4F93AFB87944}" name="BILLING_AMOUNT"/>
    <tableColumn id="11" xr3:uid="{D323F9DE-EA1C-4CD8-8C97-72715B4B0776}" name="INSURANCE TYPE"/>
    <tableColumn id="12" xr3:uid="{477725FC-DE60-4C56-9C91-EDB68F820E07}" name="AVERAGE STAY">
      <calculatedColumnFormula>F3-E3</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8196F-C09A-42E9-9A43-9697919DC772}">
  <dimension ref="A1:M61"/>
  <sheetViews>
    <sheetView workbookViewId="0">
      <selection activeCell="M32" sqref="M32"/>
    </sheetView>
  </sheetViews>
  <sheetFormatPr defaultRowHeight="14.4" x14ac:dyDescent="0.3"/>
  <cols>
    <col min="1" max="1" width="12.88671875" customWidth="1"/>
    <col min="2" max="2" width="18.21875" customWidth="1"/>
    <col min="4" max="4" width="9.77734375" customWidth="1"/>
    <col min="5" max="5" width="22.88671875" customWidth="1"/>
    <col min="6" max="6" width="28.21875" customWidth="1"/>
    <col min="7" max="7" width="14.6640625" customWidth="1"/>
    <col min="8" max="8" width="19.5546875" customWidth="1"/>
    <col min="9" max="9" width="17.21875" bestFit="1" customWidth="1"/>
    <col min="10" max="10" width="18.44140625" customWidth="1"/>
    <col min="11" max="11" width="17.5546875" customWidth="1"/>
    <col min="12" max="12" width="15.5546875" customWidth="1"/>
  </cols>
  <sheetData>
    <row r="1" spans="1:13" x14ac:dyDescent="0.3">
      <c r="F1" s="9" t="s">
        <v>129</v>
      </c>
    </row>
    <row r="2" spans="1:13" s="8" customFormat="1" x14ac:dyDescent="0.3">
      <c r="A2" s="8" t="s">
        <v>0</v>
      </c>
      <c r="B2" s="8" t="s">
        <v>1</v>
      </c>
      <c r="C2" s="8" t="s">
        <v>2</v>
      </c>
      <c r="D2" s="8" t="s">
        <v>3</v>
      </c>
      <c r="E2" s="8" t="s">
        <v>4</v>
      </c>
      <c r="F2" s="8" t="s">
        <v>5</v>
      </c>
      <c r="G2" s="8" t="s">
        <v>6</v>
      </c>
      <c r="H2" s="8" t="s">
        <v>7</v>
      </c>
      <c r="I2" s="8" t="s">
        <v>8</v>
      </c>
      <c r="J2" s="8" t="s">
        <v>9</v>
      </c>
      <c r="K2" s="8" t="s">
        <v>10</v>
      </c>
      <c r="L2" s="8" t="s">
        <v>126</v>
      </c>
    </row>
    <row r="3" spans="1:13" x14ac:dyDescent="0.3">
      <c r="A3" s="1">
        <v>1</v>
      </c>
      <c r="B3" s="1" t="s">
        <v>11</v>
      </c>
      <c r="C3">
        <v>30</v>
      </c>
      <c r="D3" t="s">
        <v>31</v>
      </c>
      <c r="E3" s="2">
        <v>46143</v>
      </c>
      <c r="F3" s="2">
        <v>46149</v>
      </c>
      <c r="G3" t="s">
        <v>63</v>
      </c>
      <c r="H3" t="s">
        <v>74</v>
      </c>
      <c r="I3" t="s">
        <v>85</v>
      </c>
      <c r="J3">
        <v>7000</v>
      </c>
      <c r="K3" t="s">
        <v>107</v>
      </c>
      <c r="L3">
        <f>F3-E3</f>
        <v>6</v>
      </c>
      <c r="M3">
        <f>COUNTA(A3:A52)</f>
        <v>50</v>
      </c>
    </row>
    <row r="4" spans="1:13" x14ac:dyDescent="0.3">
      <c r="A4" s="1">
        <v>2</v>
      </c>
      <c r="B4" s="1" t="s">
        <v>12</v>
      </c>
      <c r="C4">
        <v>35</v>
      </c>
      <c r="D4" t="s">
        <v>32</v>
      </c>
      <c r="E4" s="2">
        <v>46145</v>
      </c>
      <c r="F4" s="2">
        <v>46151</v>
      </c>
      <c r="G4" t="s">
        <v>64</v>
      </c>
      <c r="H4" t="s">
        <v>75</v>
      </c>
      <c r="I4" t="s">
        <v>86</v>
      </c>
      <c r="J4">
        <v>7500</v>
      </c>
      <c r="K4" t="s">
        <v>109</v>
      </c>
      <c r="L4">
        <f t="shared" ref="L4:L52" si="0">F4-E4</f>
        <v>6</v>
      </c>
      <c r="M4">
        <f>SUM(J3:J102)</f>
        <v>1185100</v>
      </c>
    </row>
    <row r="5" spans="1:13" x14ac:dyDescent="0.3">
      <c r="A5" s="1">
        <v>3</v>
      </c>
      <c r="B5" s="1" t="s">
        <v>13</v>
      </c>
      <c r="C5">
        <v>40</v>
      </c>
      <c r="D5" t="s">
        <v>31</v>
      </c>
      <c r="E5" s="2">
        <v>46147</v>
      </c>
      <c r="F5" s="2">
        <v>46150</v>
      </c>
      <c r="G5" t="s">
        <v>65</v>
      </c>
      <c r="H5" t="s">
        <v>76</v>
      </c>
      <c r="I5" t="s">
        <v>87</v>
      </c>
      <c r="J5">
        <v>5000</v>
      </c>
      <c r="K5" t="s">
        <v>110</v>
      </c>
      <c r="L5">
        <f t="shared" si="0"/>
        <v>3</v>
      </c>
      <c r="M5">
        <f>AVERAGE(L3:L52)</f>
        <v>3.6</v>
      </c>
    </row>
    <row r="6" spans="1:13" x14ac:dyDescent="0.3">
      <c r="A6" s="1">
        <v>4</v>
      </c>
      <c r="B6" s="1" t="s">
        <v>14</v>
      </c>
      <c r="C6">
        <v>45</v>
      </c>
      <c r="D6" t="s">
        <v>32</v>
      </c>
      <c r="E6" s="2">
        <v>46149</v>
      </c>
      <c r="F6" s="2">
        <v>46154</v>
      </c>
      <c r="G6" t="s">
        <v>66</v>
      </c>
      <c r="H6" t="s">
        <v>77</v>
      </c>
      <c r="I6" t="s">
        <v>88</v>
      </c>
      <c r="J6">
        <v>50000</v>
      </c>
      <c r="K6" t="s">
        <v>108</v>
      </c>
      <c r="L6">
        <f t="shared" si="0"/>
        <v>5</v>
      </c>
      <c r="M6">
        <f>COUNTA(_xlfn.UNIQUE(G3:G102))</f>
        <v>12</v>
      </c>
    </row>
    <row r="7" spans="1:13" x14ac:dyDescent="0.3">
      <c r="A7" s="1">
        <v>5</v>
      </c>
      <c r="B7" s="1" t="s">
        <v>15</v>
      </c>
      <c r="C7">
        <v>60</v>
      </c>
      <c r="D7" t="s">
        <v>31</v>
      </c>
      <c r="E7" s="2">
        <v>46151</v>
      </c>
      <c r="F7" s="2">
        <v>46156</v>
      </c>
      <c r="G7" t="s">
        <v>67</v>
      </c>
      <c r="H7" t="s">
        <v>78</v>
      </c>
      <c r="I7" t="s">
        <v>89</v>
      </c>
      <c r="J7">
        <v>75000</v>
      </c>
      <c r="K7" t="s">
        <v>109</v>
      </c>
      <c r="L7">
        <f t="shared" si="0"/>
        <v>5</v>
      </c>
    </row>
    <row r="8" spans="1:13" x14ac:dyDescent="0.3">
      <c r="A8" s="1">
        <v>6</v>
      </c>
      <c r="B8" s="1" t="s">
        <v>16</v>
      </c>
      <c r="C8">
        <v>45</v>
      </c>
      <c r="D8" t="s">
        <v>32</v>
      </c>
      <c r="E8" s="2">
        <v>46153</v>
      </c>
      <c r="F8" s="2">
        <v>46155</v>
      </c>
      <c r="G8" t="s">
        <v>68</v>
      </c>
      <c r="H8" t="s">
        <v>79</v>
      </c>
      <c r="I8" t="s">
        <v>90</v>
      </c>
      <c r="J8">
        <v>5000</v>
      </c>
      <c r="K8" t="s">
        <v>107</v>
      </c>
      <c r="L8">
        <f t="shared" si="0"/>
        <v>2</v>
      </c>
    </row>
    <row r="9" spans="1:13" x14ac:dyDescent="0.3">
      <c r="A9" s="1">
        <v>7</v>
      </c>
      <c r="B9" s="1" t="s">
        <v>17</v>
      </c>
      <c r="C9">
        <v>29</v>
      </c>
      <c r="D9" t="s">
        <v>31</v>
      </c>
      <c r="E9" s="2">
        <v>46155</v>
      </c>
      <c r="F9" s="2">
        <v>46159</v>
      </c>
      <c r="G9" t="s">
        <v>69</v>
      </c>
      <c r="H9" t="s">
        <v>80</v>
      </c>
      <c r="I9" t="s">
        <v>91</v>
      </c>
      <c r="J9">
        <v>6000</v>
      </c>
      <c r="K9" t="s">
        <v>107</v>
      </c>
      <c r="L9">
        <f t="shared" si="0"/>
        <v>4</v>
      </c>
    </row>
    <row r="10" spans="1:13" x14ac:dyDescent="0.3">
      <c r="A10" s="1">
        <v>8</v>
      </c>
      <c r="B10" s="1" t="s">
        <v>18</v>
      </c>
      <c r="C10">
        <v>35</v>
      </c>
      <c r="D10" t="s">
        <v>32</v>
      </c>
      <c r="E10" s="2">
        <v>46160</v>
      </c>
      <c r="F10" s="2">
        <v>46167</v>
      </c>
      <c r="G10" t="s">
        <v>70</v>
      </c>
      <c r="H10" t="s">
        <v>81</v>
      </c>
      <c r="I10" t="s">
        <v>92</v>
      </c>
      <c r="J10">
        <v>9000</v>
      </c>
      <c r="K10" t="s">
        <v>108</v>
      </c>
      <c r="L10">
        <f t="shared" si="0"/>
        <v>7</v>
      </c>
    </row>
    <row r="11" spans="1:13" x14ac:dyDescent="0.3">
      <c r="A11" s="1">
        <v>9</v>
      </c>
      <c r="B11" s="1" t="s">
        <v>19</v>
      </c>
      <c r="C11">
        <v>34</v>
      </c>
      <c r="D11" t="s">
        <v>31</v>
      </c>
      <c r="E11" s="2">
        <v>46161</v>
      </c>
      <c r="F11" s="2">
        <v>46168</v>
      </c>
      <c r="G11" t="s">
        <v>71</v>
      </c>
      <c r="H11" t="s">
        <v>82</v>
      </c>
      <c r="I11" t="s">
        <v>93</v>
      </c>
      <c r="J11">
        <v>10000</v>
      </c>
      <c r="K11" t="s">
        <v>109</v>
      </c>
      <c r="L11">
        <f t="shared" si="0"/>
        <v>7</v>
      </c>
    </row>
    <row r="12" spans="1:13" x14ac:dyDescent="0.3">
      <c r="A12" s="1">
        <v>10</v>
      </c>
      <c r="B12" s="1" t="s">
        <v>20</v>
      </c>
      <c r="C12">
        <v>36</v>
      </c>
      <c r="D12" t="s">
        <v>32</v>
      </c>
      <c r="E12" s="2">
        <v>46162</v>
      </c>
      <c r="F12" s="2">
        <v>46169</v>
      </c>
      <c r="G12" t="s">
        <v>72</v>
      </c>
      <c r="H12" t="s">
        <v>83</v>
      </c>
      <c r="I12" t="s">
        <v>94</v>
      </c>
      <c r="J12">
        <v>4000</v>
      </c>
      <c r="K12" t="s">
        <v>107</v>
      </c>
      <c r="L12">
        <f t="shared" si="0"/>
        <v>7</v>
      </c>
    </row>
    <row r="13" spans="1:13" x14ac:dyDescent="0.3">
      <c r="A13" s="1">
        <v>11</v>
      </c>
      <c r="B13" s="1" t="s">
        <v>21</v>
      </c>
      <c r="C13">
        <v>40</v>
      </c>
      <c r="D13" t="s">
        <v>31</v>
      </c>
      <c r="E13" s="2">
        <v>46174</v>
      </c>
      <c r="F13" s="2">
        <v>46180</v>
      </c>
      <c r="G13" t="s">
        <v>73</v>
      </c>
      <c r="H13" t="s">
        <v>84</v>
      </c>
      <c r="I13" t="s">
        <v>95</v>
      </c>
      <c r="J13">
        <v>4500</v>
      </c>
      <c r="K13" t="s">
        <v>108</v>
      </c>
      <c r="L13">
        <f t="shared" si="0"/>
        <v>6</v>
      </c>
    </row>
    <row r="14" spans="1:13" x14ac:dyDescent="0.3">
      <c r="A14" s="1">
        <v>12</v>
      </c>
      <c r="B14" s="1" t="s">
        <v>22</v>
      </c>
      <c r="C14">
        <v>67</v>
      </c>
      <c r="D14" t="s">
        <v>32</v>
      </c>
      <c r="E14" s="2">
        <v>46176</v>
      </c>
      <c r="F14" s="2">
        <v>46182</v>
      </c>
      <c r="G14" t="s">
        <v>64</v>
      </c>
      <c r="H14" t="s">
        <v>75</v>
      </c>
      <c r="I14" t="s">
        <v>86</v>
      </c>
      <c r="J14">
        <v>8900</v>
      </c>
      <c r="K14" t="s">
        <v>109</v>
      </c>
      <c r="L14">
        <f t="shared" si="0"/>
        <v>6</v>
      </c>
    </row>
    <row r="15" spans="1:13" x14ac:dyDescent="0.3">
      <c r="A15" s="1">
        <v>13</v>
      </c>
      <c r="B15" s="1" t="s">
        <v>23</v>
      </c>
      <c r="C15">
        <v>50</v>
      </c>
      <c r="D15" t="s">
        <v>31</v>
      </c>
      <c r="E15" s="2">
        <v>46178</v>
      </c>
      <c r="F15" s="2">
        <v>46181</v>
      </c>
      <c r="G15" t="s">
        <v>65</v>
      </c>
      <c r="H15" t="s">
        <v>76</v>
      </c>
      <c r="I15" t="s">
        <v>87</v>
      </c>
      <c r="J15">
        <v>2000</v>
      </c>
      <c r="K15" t="s">
        <v>107</v>
      </c>
      <c r="L15">
        <f t="shared" si="0"/>
        <v>3</v>
      </c>
    </row>
    <row r="16" spans="1:13" x14ac:dyDescent="0.3">
      <c r="A16" s="1">
        <v>14</v>
      </c>
      <c r="B16" s="1" t="s">
        <v>24</v>
      </c>
      <c r="C16">
        <v>40</v>
      </c>
      <c r="D16" t="s">
        <v>32</v>
      </c>
      <c r="E16" s="2">
        <v>46180</v>
      </c>
      <c r="F16" s="2">
        <v>46185</v>
      </c>
      <c r="G16" t="s">
        <v>66</v>
      </c>
      <c r="H16" t="s">
        <v>77</v>
      </c>
      <c r="I16" t="s">
        <v>96</v>
      </c>
      <c r="J16">
        <v>60000</v>
      </c>
      <c r="K16" t="s">
        <v>108</v>
      </c>
      <c r="L16">
        <f t="shared" si="0"/>
        <v>5</v>
      </c>
    </row>
    <row r="17" spans="1:12" x14ac:dyDescent="0.3">
      <c r="A17" s="1">
        <v>15</v>
      </c>
      <c r="B17" s="1" t="s">
        <v>25</v>
      </c>
      <c r="C17">
        <v>37</v>
      </c>
      <c r="D17" t="s">
        <v>31</v>
      </c>
      <c r="E17" s="2">
        <v>46182</v>
      </c>
      <c r="F17" s="2">
        <v>46187</v>
      </c>
      <c r="G17" t="s">
        <v>67</v>
      </c>
      <c r="H17" t="s">
        <v>78</v>
      </c>
      <c r="I17" t="s">
        <v>97</v>
      </c>
      <c r="J17">
        <v>70000</v>
      </c>
      <c r="K17" t="s">
        <v>109</v>
      </c>
      <c r="L17">
        <f t="shared" si="0"/>
        <v>5</v>
      </c>
    </row>
    <row r="18" spans="1:12" x14ac:dyDescent="0.3">
      <c r="A18" s="1">
        <v>16</v>
      </c>
      <c r="B18" s="1" t="s">
        <v>26</v>
      </c>
      <c r="C18">
        <v>38</v>
      </c>
      <c r="D18" t="s">
        <v>32</v>
      </c>
      <c r="E18" s="2">
        <v>46184</v>
      </c>
      <c r="F18" s="2">
        <v>46186</v>
      </c>
      <c r="G18" t="s">
        <v>68</v>
      </c>
      <c r="H18" t="s">
        <v>79</v>
      </c>
      <c r="I18" t="s">
        <v>98</v>
      </c>
      <c r="J18">
        <v>5000</v>
      </c>
      <c r="K18" t="s">
        <v>107</v>
      </c>
      <c r="L18">
        <f t="shared" si="0"/>
        <v>2</v>
      </c>
    </row>
    <row r="19" spans="1:12" x14ac:dyDescent="0.3">
      <c r="A19" s="1">
        <v>17</v>
      </c>
      <c r="B19" s="1" t="s">
        <v>27</v>
      </c>
      <c r="C19">
        <v>39</v>
      </c>
      <c r="D19" t="s">
        <v>31</v>
      </c>
      <c r="E19" s="2">
        <v>46186</v>
      </c>
      <c r="F19" s="2">
        <v>46190</v>
      </c>
      <c r="G19" t="s">
        <v>69</v>
      </c>
      <c r="H19" t="s">
        <v>80</v>
      </c>
      <c r="I19" t="s">
        <v>99</v>
      </c>
      <c r="J19">
        <v>7000</v>
      </c>
      <c r="K19" t="s">
        <v>107</v>
      </c>
      <c r="L19">
        <f t="shared" si="0"/>
        <v>4</v>
      </c>
    </row>
    <row r="20" spans="1:12" x14ac:dyDescent="0.3">
      <c r="A20" s="1">
        <v>18</v>
      </c>
      <c r="B20" s="1" t="s">
        <v>28</v>
      </c>
      <c r="C20">
        <v>30</v>
      </c>
      <c r="D20" t="s">
        <v>32</v>
      </c>
      <c r="E20" s="2">
        <v>46191</v>
      </c>
      <c r="F20" s="2">
        <v>46198</v>
      </c>
      <c r="G20" t="s">
        <v>70</v>
      </c>
      <c r="H20" t="s">
        <v>81</v>
      </c>
      <c r="I20" t="s">
        <v>100</v>
      </c>
      <c r="J20">
        <v>6000</v>
      </c>
      <c r="K20" t="s">
        <v>107</v>
      </c>
      <c r="L20">
        <f t="shared" si="0"/>
        <v>7</v>
      </c>
    </row>
    <row r="21" spans="1:12" x14ac:dyDescent="0.3">
      <c r="A21" s="1">
        <v>19</v>
      </c>
      <c r="B21" s="1" t="s">
        <v>29</v>
      </c>
      <c r="C21">
        <v>36</v>
      </c>
      <c r="D21" t="s">
        <v>31</v>
      </c>
      <c r="E21" s="2">
        <v>46192</v>
      </c>
      <c r="F21" s="2">
        <v>46199</v>
      </c>
      <c r="G21" t="s">
        <v>71</v>
      </c>
      <c r="H21" t="s">
        <v>82</v>
      </c>
      <c r="I21" t="s">
        <v>101</v>
      </c>
      <c r="J21">
        <v>4000</v>
      </c>
      <c r="K21" t="s">
        <v>108</v>
      </c>
      <c r="L21">
        <f t="shared" si="0"/>
        <v>7</v>
      </c>
    </row>
    <row r="22" spans="1:12" x14ac:dyDescent="0.3">
      <c r="A22" s="1">
        <v>20</v>
      </c>
      <c r="B22" s="1" t="s">
        <v>30</v>
      </c>
      <c r="C22">
        <v>35</v>
      </c>
      <c r="D22" t="s">
        <v>32</v>
      </c>
      <c r="E22" s="2">
        <v>46193</v>
      </c>
      <c r="F22" s="2">
        <v>46200</v>
      </c>
      <c r="G22" t="s">
        <v>72</v>
      </c>
      <c r="H22" t="s">
        <v>83</v>
      </c>
      <c r="I22" t="s">
        <v>102</v>
      </c>
      <c r="J22">
        <v>40000</v>
      </c>
      <c r="K22" t="s">
        <v>109</v>
      </c>
      <c r="L22">
        <f t="shared" si="0"/>
        <v>7</v>
      </c>
    </row>
    <row r="23" spans="1:12" x14ac:dyDescent="0.3">
      <c r="A23" s="1">
        <v>21</v>
      </c>
      <c r="B23" s="1" t="s">
        <v>33</v>
      </c>
      <c r="C23">
        <v>33</v>
      </c>
      <c r="D23" t="s">
        <v>31</v>
      </c>
      <c r="E23" s="3">
        <v>46204</v>
      </c>
      <c r="F23" s="3">
        <v>46210</v>
      </c>
      <c r="G23" t="s">
        <v>73</v>
      </c>
      <c r="H23" t="s">
        <v>84</v>
      </c>
      <c r="I23" t="s">
        <v>103</v>
      </c>
      <c r="J23">
        <v>25000</v>
      </c>
      <c r="K23" t="s">
        <v>107</v>
      </c>
      <c r="L23">
        <f t="shared" si="0"/>
        <v>6</v>
      </c>
    </row>
    <row r="24" spans="1:12" x14ac:dyDescent="0.3">
      <c r="A24" s="1">
        <v>22</v>
      </c>
      <c r="B24" s="1" t="s">
        <v>34</v>
      </c>
      <c r="C24">
        <v>44</v>
      </c>
      <c r="D24" t="s">
        <v>31</v>
      </c>
      <c r="E24" s="3">
        <v>46206</v>
      </c>
      <c r="F24" s="3">
        <v>46212</v>
      </c>
      <c r="G24" t="s">
        <v>65</v>
      </c>
      <c r="H24" t="s">
        <v>76</v>
      </c>
      <c r="I24" t="s">
        <v>104</v>
      </c>
      <c r="J24">
        <v>3000</v>
      </c>
      <c r="K24" t="s">
        <v>107</v>
      </c>
      <c r="L24">
        <f t="shared" si="0"/>
        <v>6</v>
      </c>
    </row>
    <row r="25" spans="1:12" x14ac:dyDescent="0.3">
      <c r="A25" s="1">
        <v>23</v>
      </c>
      <c r="B25" s="1" t="s">
        <v>35</v>
      </c>
      <c r="C25">
        <v>45</v>
      </c>
      <c r="D25" t="s">
        <v>31</v>
      </c>
      <c r="E25" s="3">
        <v>46208</v>
      </c>
      <c r="F25" s="3">
        <v>46211</v>
      </c>
      <c r="G25" t="s">
        <v>66</v>
      </c>
      <c r="H25" t="s">
        <v>77</v>
      </c>
      <c r="I25" t="s">
        <v>105</v>
      </c>
      <c r="J25">
        <v>70000</v>
      </c>
      <c r="K25" t="s">
        <v>108</v>
      </c>
      <c r="L25">
        <f t="shared" si="0"/>
        <v>3</v>
      </c>
    </row>
    <row r="26" spans="1:12" x14ac:dyDescent="0.3">
      <c r="A26" s="1">
        <v>24</v>
      </c>
      <c r="B26" s="1" t="s">
        <v>36</v>
      </c>
      <c r="C26">
        <v>40</v>
      </c>
      <c r="D26" t="s">
        <v>31</v>
      </c>
      <c r="E26" s="3">
        <v>46210</v>
      </c>
      <c r="F26" s="3">
        <v>46215</v>
      </c>
      <c r="G26" t="s">
        <v>67</v>
      </c>
      <c r="H26" t="s">
        <v>111</v>
      </c>
      <c r="I26" t="s">
        <v>97</v>
      </c>
      <c r="J26">
        <v>80000</v>
      </c>
      <c r="K26" t="s">
        <v>107</v>
      </c>
      <c r="L26">
        <f t="shared" si="0"/>
        <v>5</v>
      </c>
    </row>
    <row r="27" spans="1:12" x14ac:dyDescent="0.3">
      <c r="A27" s="1">
        <v>25</v>
      </c>
      <c r="B27" s="1" t="s">
        <v>37</v>
      </c>
      <c r="C27">
        <v>37</v>
      </c>
      <c r="D27" t="s">
        <v>32</v>
      </c>
      <c r="E27" s="3">
        <v>46212</v>
      </c>
      <c r="F27" s="3">
        <v>46217</v>
      </c>
      <c r="G27" t="s">
        <v>68</v>
      </c>
      <c r="H27" t="s">
        <v>79</v>
      </c>
      <c r="I27" t="s">
        <v>90</v>
      </c>
      <c r="J27">
        <v>5700</v>
      </c>
      <c r="K27" t="s">
        <v>108</v>
      </c>
      <c r="L27">
        <f t="shared" si="0"/>
        <v>5</v>
      </c>
    </row>
    <row r="28" spans="1:12" x14ac:dyDescent="0.3">
      <c r="A28" s="1">
        <v>26</v>
      </c>
      <c r="B28" s="1" t="s">
        <v>38</v>
      </c>
      <c r="C28">
        <v>26</v>
      </c>
      <c r="D28" t="s">
        <v>32</v>
      </c>
      <c r="E28" s="3">
        <v>46214</v>
      </c>
      <c r="F28" s="3">
        <v>46216</v>
      </c>
      <c r="G28" t="s">
        <v>69</v>
      </c>
      <c r="H28" t="s">
        <v>80</v>
      </c>
      <c r="I28" t="s">
        <v>99</v>
      </c>
      <c r="J28">
        <v>7000</v>
      </c>
      <c r="K28" t="s">
        <v>107</v>
      </c>
      <c r="L28">
        <f t="shared" si="0"/>
        <v>2</v>
      </c>
    </row>
    <row r="29" spans="1:12" x14ac:dyDescent="0.3">
      <c r="A29" s="1">
        <v>27</v>
      </c>
      <c r="B29" s="1" t="s">
        <v>39</v>
      </c>
      <c r="C29">
        <v>25</v>
      </c>
      <c r="D29" t="s">
        <v>31</v>
      </c>
      <c r="E29" s="3">
        <v>46216</v>
      </c>
      <c r="F29" s="3">
        <v>46220</v>
      </c>
      <c r="G29" t="s">
        <v>70</v>
      </c>
      <c r="H29" t="s">
        <v>81</v>
      </c>
      <c r="I29" t="s">
        <v>106</v>
      </c>
      <c r="J29">
        <v>8000</v>
      </c>
      <c r="K29" t="s">
        <v>108</v>
      </c>
      <c r="L29">
        <f t="shared" si="0"/>
        <v>4</v>
      </c>
    </row>
    <row r="30" spans="1:12" x14ac:dyDescent="0.3">
      <c r="A30" s="1">
        <v>28</v>
      </c>
      <c r="B30" s="1" t="s">
        <v>40</v>
      </c>
      <c r="C30">
        <v>37</v>
      </c>
      <c r="D30" t="s">
        <v>31</v>
      </c>
      <c r="E30" s="3">
        <v>46221</v>
      </c>
      <c r="F30" s="3">
        <v>46228</v>
      </c>
      <c r="G30" t="s">
        <v>71</v>
      </c>
      <c r="H30" t="s">
        <v>82</v>
      </c>
      <c r="I30" t="s">
        <v>101</v>
      </c>
      <c r="J30">
        <v>3000</v>
      </c>
      <c r="K30" t="s">
        <v>107</v>
      </c>
      <c r="L30">
        <f t="shared" si="0"/>
        <v>7</v>
      </c>
    </row>
    <row r="31" spans="1:12" ht="14.4" customHeight="1" x14ac:dyDescent="0.3">
      <c r="A31" s="1">
        <v>29</v>
      </c>
      <c r="B31" s="1" t="s">
        <v>41</v>
      </c>
      <c r="C31">
        <v>40</v>
      </c>
      <c r="D31" t="s">
        <v>31</v>
      </c>
      <c r="E31" s="3">
        <v>46222</v>
      </c>
      <c r="F31" s="3">
        <v>46229</v>
      </c>
      <c r="G31" t="s">
        <v>72</v>
      </c>
      <c r="H31" t="s">
        <v>83</v>
      </c>
      <c r="I31" t="s">
        <v>102</v>
      </c>
      <c r="J31">
        <v>50000</v>
      </c>
      <c r="K31" t="s">
        <v>108</v>
      </c>
      <c r="L31">
        <f t="shared" si="0"/>
        <v>7</v>
      </c>
    </row>
    <row r="32" spans="1:12" x14ac:dyDescent="0.3">
      <c r="A32" s="1">
        <v>30</v>
      </c>
      <c r="B32" s="1" t="s">
        <v>42</v>
      </c>
      <c r="C32">
        <v>45</v>
      </c>
      <c r="D32" t="s">
        <v>31</v>
      </c>
      <c r="E32" s="3">
        <v>46223</v>
      </c>
      <c r="F32" s="3">
        <v>46230</v>
      </c>
      <c r="G32" t="s">
        <v>73</v>
      </c>
      <c r="H32" t="s">
        <v>84</v>
      </c>
      <c r="I32" t="s">
        <v>103</v>
      </c>
      <c r="J32">
        <v>20000</v>
      </c>
      <c r="K32" t="s">
        <v>107</v>
      </c>
      <c r="L32">
        <f t="shared" si="0"/>
        <v>7</v>
      </c>
    </row>
    <row r="33" spans="1:12" x14ac:dyDescent="0.3">
      <c r="A33" s="1">
        <v>31</v>
      </c>
      <c r="B33" s="1" t="s">
        <v>43</v>
      </c>
      <c r="C33">
        <v>37</v>
      </c>
      <c r="D33" t="s">
        <v>32</v>
      </c>
      <c r="E33" s="3">
        <v>46235</v>
      </c>
      <c r="F33" s="3">
        <v>46241</v>
      </c>
      <c r="G33" t="s">
        <v>66</v>
      </c>
      <c r="H33" t="s">
        <v>77</v>
      </c>
      <c r="I33" t="s">
        <v>105</v>
      </c>
      <c r="J33">
        <v>7000</v>
      </c>
      <c r="K33" t="s">
        <v>108</v>
      </c>
      <c r="L33">
        <f t="shared" si="0"/>
        <v>6</v>
      </c>
    </row>
    <row r="34" spans="1:12" x14ac:dyDescent="0.3">
      <c r="A34" s="1">
        <v>32</v>
      </c>
      <c r="B34" s="1" t="s">
        <v>44</v>
      </c>
      <c r="C34">
        <v>56</v>
      </c>
      <c r="D34" t="s">
        <v>31</v>
      </c>
      <c r="E34" s="3">
        <v>46237</v>
      </c>
      <c r="F34" s="3">
        <v>46243</v>
      </c>
      <c r="G34" t="s">
        <v>67</v>
      </c>
      <c r="H34" t="s">
        <v>78</v>
      </c>
      <c r="I34" t="s">
        <v>96</v>
      </c>
      <c r="J34">
        <v>89000</v>
      </c>
      <c r="K34" t="s">
        <v>108</v>
      </c>
      <c r="L34">
        <f t="shared" si="0"/>
        <v>6</v>
      </c>
    </row>
    <row r="35" spans="1:12" x14ac:dyDescent="0.3">
      <c r="A35" s="1">
        <v>33</v>
      </c>
      <c r="B35" s="1" t="s">
        <v>45</v>
      </c>
      <c r="C35">
        <v>28</v>
      </c>
      <c r="D35" t="s">
        <v>32</v>
      </c>
      <c r="E35" s="3">
        <v>46239</v>
      </c>
      <c r="F35" s="3">
        <v>46242</v>
      </c>
      <c r="G35" t="s">
        <v>68</v>
      </c>
      <c r="H35" t="s">
        <v>79</v>
      </c>
      <c r="I35" t="s">
        <v>98</v>
      </c>
      <c r="J35">
        <v>5000</v>
      </c>
      <c r="K35" t="s">
        <v>107</v>
      </c>
      <c r="L35">
        <f t="shared" si="0"/>
        <v>3</v>
      </c>
    </row>
    <row r="36" spans="1:12" x14ac:dyDescent="0.3">
      <c r="A36" s="1">
        <v>34</v>
      </c>
      <c r="B36" s="1" t="s">
        <v>46</v>
      </c>
      <c r="C36">
        <v>32</v>
      </c>
      <c r="D36" t="s">
        <v>32</v>
      </c>
      <c r="E36" s="3">
        <v>46241</v>
      </c>
      <c r="F36" s="3">
        <v>46246</v>
      </c>
      <c r="G36" t="s">
        <v>69</v>
      </c>
      <c r="H36" t="s">
        <v>80</v>
      </c>
      <c r="I36" t="s">
        <v>99</v>
      </c>
      <c r="J36">
        <v>3000</v>
      </c>
      <c r="K36" t="s">
        <v>107</v>
      </c>
      <c r="L36">
        <f t="shared" si="0"/>
        <v>5</v>
      </c>
    </row>
    <row r="37" spans="1:12" x14ac:dyDescent="0.3">
      <c r="A37" s="1">
        <v>35</v>
      </c>
      <c r="B37" s="1" t="s">
        <v>47</v>
      </c>
      <c r="C37">
        <v>33</v>
      </c>
      <c r="D37" t="s">
        <v>32</v>
      </c>
      <c r="E37" s="3">
        <v>46243</v>
      </c>
      <c r="F37" s="3">
        <v>46248</v>
      </c>
      <c r="G37" t="s">
        <v>70</v>
      </c>
      <c r="H37" t="s">
        <v>81</v>
      </c>
      <c r="I37" t="s">
        <v>106</v>
      </c>
      <c r="J37">
        <v>60000</v>
      </c>
      <c r="K37" t="s">
        <v>108</v>
      </c>
      <c r="L37">
        <f t="shared" si="0"/>
        <v>5</v>
      </c>
    </row>
    <row r="38" spans="1:12" x14ac:dyDescent="0.3">
      <c r="A38" s="1">
        <v>36</v>
      </c>
      <c r="B38" s="1" t="s">
        <v>48</v>
      </c>
      <c r="C38">
        <v>29</v>
      </c>
      <c r="D38" t="s">
        <v>32</v>
      </c>
      <c r="E38" s="3">
        <v>46245</v>
      </c>
      <c r="F38" s="3">
        <v>46247</v>
      </c>
      <c r="G38" t="s">
        <v>71</v>
      </c>
      <c r="H38" t="s">
        <v>82</v>
      </c>
      <c r="I38" t="s">
        <v>101</v>
      </c>
      <c r="J38">
        <v>3000</v>
      </c>
      <c r="K38" t="s">
        <v>107</v>
      </c>
      <c r="L38">
        <f t="shared" si="0"/>
        <v>2</v>
      </c>
    </row>
    <row r="39" spans="1:12" x14ac:dyDescent="0.3">
      <c r="A39" s="1">
        <v>37</v>
      </c>
      <c r="B39" s="1" t="s">
        <v>49</v>
      </c>
      <c r="C39">
        <v>37</v>
      </c>
      <c r="D39" t="s">
        <v>31</v>
      </c>
      <c r="E39" s="3">
        <v>46247</v>
      </c>
      <c r="F39" s="3">
        <v>46251</v>
      </c>
      <c r="G39" t="s">
        <v>72</v>
      </c>
      <c r="H39" t="s">
        <v>83</v>
      </c>
      <c r="I39" t="s">
        <v>102</v>
      </c>
      <c r="J39">
        <v>50000</v>
      </c>
      <c r="K39" t="s">
        <v>108</v>
      </c>
      <c r="L39">
        <f t="shared" si="0"/>
        <v>4</v>
      </c>
    </row>
    <row r="40" spans="1:12" x14ac:dyDescent="0.3">
      <c r="A40" s="1">
        <v>38</v>
      </c>
      <c r="B40" s="1" t="s">
        <v>50</v>
      </c>
      <c r="C40">
        <v>28</v>
      </c>
      <c r="D40" t="s">
        <v>31</v>
      </c>
      <c r="E40" s="3">
        <v>46252</v>
      </c>
      <c r="F40" s="3">
        <v>46259</v>
      </c>
      <c r="G40" t="s">
        <v>73</v>
      </c>
      <c r="H40" t="s">
        <v>84</v>
      </c>
      <c r="I40" t="s">
        <v>103</v>
      </c>
      <c r="J40">
        <v>20000</v>
      </c>
      <c r="K40" t="s">
        <v>107</v>
      </c>
      <c r="L40">
        <f t="shared" si="0"/>
        <v>7</v>
      </c>
    </row>
    <row r="41" spans="1:12" x14ac:dyDescent="0.3">
      <c r="A41" s="1">
        <v>39</v>
      </c>
      <c r="B41" s="1" t="s">
        <v>51</v>
      </c>
      <c r="C41">
        <v>30</v>
      </c>
      <c r="D41" t="s">
        <v>31</v>
      </c>
      <c r="E41" s="3">
        <v>46253</v>
      </c>
      <c r="F41" s="3">
        <v>46260</v>
      </c>
      <c r="G41" t="s">
        <v>64</v>
      </c>
      <c r="H41" t="s">
        <v>75</v>
      </c>
      <c r="I41" t="s">
        <v>86</v>
      </c>
      <c r="J41">
        <v>40000</v>
      </c>
      <c r="K41" t="s">
        <v>109</v>
      </c>
      <c r="L41">
        <f t="shared" si="0"/>
        <v>7</v>
      </c>
    </row>
    <row r="42" spans="1:12" x14ac:dyDescent="0.3">
      <c r="A42" s="1">
        <v>40</v>
      </c>
      <c r="B42" s="1" t="s">
        <v>52</v>
      </c>
      <c r="C42">
        <v>34</v>
      </c>
      <c r="D42" t="s">
        <v>32</v>
      </c>
      <c r="E42" s="3">
        <v>46254</v>
      </c>
      <c r="F42" s="3">
        <v>46243</v>
      </c>
      <c r="G42" t="s">
        <v>65</v>
      </c>
      <c r="H42" t="s">
        <v>76</v>
      </c>
      <c r="I42" t="s">
        <v>87</v>
      </c>
      <c r="J42">
        <v>2000</v>
      </c>
      <c r="K42" t="s">
        <v>107</v>
      </c>
      <c r="L42">
        <f t="shared" si="0"/>
        <v>-11</v>
      </c>
    </row>
    <row r="43" spans="1:12" x14ac:dyDescent="0.3">
      <c r="A43" s="1">
        <v>41</v>
      </c>
      <c r="B43" s="1" t="s">
        <v>53</v>
      </c>
      <c r="C43">
        <v>31</v>
      </c>
      <c r="D43" t="s">
        <v>31</v>
      </c>
      <c r="E43" s="3">
        <v>46266</v>
      </c>
      <c r="F43" s="3">
        <v>46272</v>
      </c>
      <c r="G43" t="s">
        <v>66</v>
      </c>
      <c r="H43" t="s">
        <v>77</v>
      </c>
      <c r="I43" t="s">
        <v>105</v>
      </c>
      <c r="J43">
        <v>10000</v>
      </c>
      <c r="K43" t="s">
        <v>108</v>
      </c>
      <c r="L43">
        <f t="shared" si="0"/>
        <v>6</v>
      </c>
    </row>
    <row r="44" spans="1:12" x14ac:dyDescent="0.3">
      <c r="A44" s="1">
        <v>42</v>
      </c>
      <c r="B44" s="1" t="s">
        <v>54</v>
      </c>
      <c r="C44">
        <v>33</v>
      </c>
      <c r="D44" t="s">
        <v>31</v>
      </c>
      <c r="E44" s="3">
        <v>46268</v>
      </c>
      <c r="F44" s="3">
        <v>46243</v>
      </c>
      <c r="G44" t="s">
        <v>67</v>
      </c>
      <c r="H44" t="s">
        <v>78</v>
      </c>
      <c r="I44" t="s">
        <v>96</v>
      </c>
      <c r="J44">
        <v>40000</v>
      </c>
      <c r="K44" t="s">
        <v>109</v>
      </c>
      <c r="L44">
        <f t="shared" si="0"/>
        <v>-25</v>
      </c>
    </row>
    <row r="45" spans="1:12" x14ac:dyDescent="0.3">
      <c r="A45" s="1">
        <v>43</v>
      </c>
      <c r="B45" s="1" t="s">
        <v>55</v>
      </c>
      <c r="C45">
        <v>34</v>
      </c>
      <c r="D45" t="s">
        <v>31</v>
      </c>
      <c r="E45" s="3">
        <v>46270</v>
      </c>
      <c r="F45" s="3">
        <v>46273</v>
      </c>
      <c r="G45" t="s">
        <v>70</v>
      </c>
      <c r="H45" t="s">
        <v>81</v>
      </c>
      <c r="I45" t="s">
        <v>106</v>
      </c>
      <c r="J45">
        <v>3500</v>
      </c>
      <c r="K45" t="s">
        <v>109</v>
      </c>
      <c r="L45">
        <f t="shared" si="0"/>
        <v>3</v>
      </c>
    </row>
    <row r="46" spans="1:12" x14ac:dyDescent="0.3">
      <c r="A46" s="1">
        <v>44</v>
      </c>
      <c r="B46" s="1" t="s">
        <v>56</v>
      </c>
      <c r="C46">
        <v>31</v>
      </c>
      <c r="D46" t="s">
        <v>31</v>
      </c>
      <c r="E46" s="3">
        <v>46272</v>
      </c>
      <c r="F46" s="3">
        <v>46277</v>
      </c>
      <c r="G46" t="s">
        <v>71</v>
      </c>
      <c r="H46" t="s">
        <v>82</v>
      </c>
      <c r="I46" t="s">
        <v>101</v>
      </c>
      <c r="J46">
        <v>3000</v>
      </c>
      <c r="K46" t="s">
        <v>107</v>
      </c>
      <c r="L46">
        <f t="shared" si="0"/>
        <v>5</v>
      </c>
    </row>
    <row r="47" spans="1:12" x14ac:dyDescent="0.3">
      <c r="A47" s="1">
        <v>45</v>
      </c>
      <c r="B47" s="1" t="s">
        <v>57</v>
      </c>
      <c r="C47">
        <v>37</v>
      </c>
      <c r="D47" t="s">
        <v>32</v>
      </c>
      <c r="E47" s="3">
        <v>46274</v>
      </c>
      <c r="F47" s="3">
        <v>46279</v>
      </c>
      <c r="G47" t="s">
        <v>72</v>
      </c>
      <c r="H47" t="s">
        <v>83</v>
      </c>
      <c r="I47" t="s">
        <v>102</v>
      </c>
      <c r="J47">
        <v>50000</v>
      </c>
      <c r="K47" t="s">
        <v>108</v>
      </c>
      <c r="L47">
        <f t="shared" si="0"/>
        <v>5</v>
      </c>
    </row>
    <row r="48" spans="1:12" x14ac:dyDescent="0.3">
      <c r="A48" s="1">
        <v>46</v>
      </c>
      <c r="B48" s="1" t="s">
        <v>58</v>
      </c>
      <c r="C48">
        <v>38</v>
      </c>
      <c r="D48" t="s">
        <v>32</v>
      </c>
      <c r="E48" s="3">
        <v>46276</v>
      </c>
      <c r="F48" s="3">
        <v>46278</v>
      </c>
      <c r="G48" t="s">
        <v>73</v>
      </c>
      <c r="H48" t="s">
        <v>84</v>
      </c>
      <c r="I48" t="s">
        <v>95</v>
      </c>
      <c r="J48">
        <v>25000</v>
      </c>
      <c r="K48" t="s">
        <v>109</v>
      </c>
      <c r="L48">
        <f t="shared" si="0"/>
        <v>2</v>
      </c>
    </row>
    <row r="49" spans="1:12" x14ac:dyDescent="0.3">
      <c r="A49" s="1">
        <v>47</v>
      </c>
      <c r="B49" s="1" t="s">
        <v>59</v>
      </c>
      <c r="C49">
        <v>40</v>
      </c>
      <c r="D49" t="s">
        <v>31</v>
      </c>
      <c r="E49" s="3">
        <v>46278</v>
      </c>
      <c r="F49" s="3">
        <v>46282</v>
      </c>
      <c r="G49" t="s">
        <v>66</v>
      </c>
      <c r="H49" t="s">
        <v>77</v>
      </c>
      <c r="I49" t="s">
        <v>105</v>
      </c>
      <c r="J49">
        <v>50000</v>
      </c>
      <c r="K49" t="s">
        <v>107</v>
      </c>
      <c r="L49">
        <f t="shared" si="0"/>
        <v>4</v>
      </c>
    </row>
    <row r="50" spans="1:12" x14ac:dyDescent="0.3">
      <c r="A50" s="1">
        <v>48</v>
      </c>
      <c r="B50" s="1" t="s">
        <v>60</v>
      </c>
      <c r="C50">
        <v>65</v>
      </c>
      <c r="D50" t="s">
        <v>31</v>
      </c>
      <c r="E50" s="3">
        <v>46283</v>
      </c>
      <c r="F50" s="3">
        <v>46259</v>
      </c>
      <c r="G50" t="s">
        <v>67</v>
      </c>
      <c r="H50" t="s">
        <v>78</v>
      </c>
      <c r="I50" t="s">
        <v>96</v>
      </c>
      <c r="J50">
        <v>60000</v>
      </c>
      <c r="K50" t="s">
        <v>108</v>
      </c>
      <c r="L50">
        <f t="shared" si="0"/>
        <v>-24</v>
      </c>
    </row>
    <row r="51" spans="1:12" x14ac:dyDescent="0.3">
      <c r="A51" s="1">
        <v>49</v>
      </c>
      <c r="B51" s="1" t="s">
        <v>61</v>
      </c>
      <c r="C51">
        <v>53</v>
      </c>
      <c r="D51" t="s">
        <v>31</v>
      </c>
      <c r="E51" s="3">
        <v>46284</v>
      </c>
      <c r="F51" s="3">
        <v>46291</v>
      </c>
      <c r="G51" t="s">
        <v>68</v>
      </c>
      <c r="H51" t="s">
        <v>79</v>
      </c>
      <c r="I51" t="s">
        <v>98</v>
      </c>
      <c r="J51">
        <v>4000</v>
      </c>
      <c r="K51" t="s">
        <v>107</v>
      </c>
      <c r="L51">
        <f t="shared" si="0"/>
        <v>7</v>
      </c>
    </row>
    <row r="52" spans="1:12" x14ac:dyDescent="0.3">
      <c r="A52" s="1">
        <v>50</v>
      </c>
      <c r="B52" s="1" t="s">
        <v>62</v>
      </c>
      <c r="C52">
        <v>29</v>
      </c>
      <c r="D52" t="s">
        <v>31</v>
      </c>
      <c r="E52" s="3">
        <v>46285</v>
      </c>
      <c r="F52" s="3">
        <v>46292</v>
      </c>
      <c r="G52" t="s">
        <v>69</v>
      </c>
      <c r="H52" t="s">
        <v>80</v>
      </c>
      <c r="I52" t="s">
        <v>99</v>
      </c>
      <c r="J52">
        <v>3000</v>
      </c>
      <c r="K52" t="s">
        <v>107</v>
      </c>
      <c r="L52">
        <f t="shared" si="0"/>
        <v>7</v>
      </c>
    </row>
    <row r="53" spans="1:12" x14ac:dyDescent="0.3">
      <c r="E53" t="s">
        <v>112</v>
      </c>
      <c r="J53" t="s">
        <v>113</v>
      </c>
    </row>
    <row r="54" spans="1:12" x14ac:dyDescent="0.3">
      <c r="E54" t="str">
        <f>IF(OR(E50="20-09-2026",F50="25-09-2026"),"Missing Date",IF(F2&lt;E2,"Check Date","Valid"))</f>
        <v>Valid</v>
      </c>
      <c r="J54" t="str">
        <f>IF(J52="3000","Missing",IF(NOT(ISNUMBER(J52)),"Check Text",IF(J52&lt;0,"Negative Amount","Valid")))</f>
        <v>Valid</v>
      </c>
    </row>
    <row r="55" spans="1:12" x14ac:dyDescent="0.3">
      <c r="E55" t="str">
        <f>IF(OR(E52="20-09-2026",F52="26-09-2026"),"Missing Date",IF(F52&lt;E52,"Check Date","Error"))</f>
        <v>Error</v>
      </c>
    </row>
    <row r="56" spans="1:12" x14ac:dyDescent="0.3">
      <c r="E56" t="str">
        <f>IF(OR(E50="18-09-2026",F50="25-08-2026"),"Missing Date",IF(F50&lt;E50,"Check Date","Valid"))</f>
        <v>Check Date</v>
      </c>
    </row>
    <row r="61" spans="1:12" x14ac:dyDescent="0.3">
      <c r="B61">
        <f>COUNTA(A3:A52)</f>
        <v>50</v>
      </c>
    </row>
  </sheetData>
  <conditionalFormatting sqref="J3:J52">
    <cfRule type="cellIs" dxfId="9" priority="2" operator="lessThan">
      <formula>0</formula>
    </cfRule>
  </conditionalFormatting>
  <conditionalFormatting sqref="L2 A2:K52">
    <cfRule type="duplicateValues" dxfId="8" priority="4"/>
  </conditionalFormatting>
  <conditionalFormatting sqref="A2:L52">
    <cfRule type="duplicateValues" dxfId="5" priority="1"/>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E4D16-4058-46A2-9E12-16705BB72FCD}">
  <dimension ref="A1:B12"/>
  <sheetViews>
    <sheetView workbookViewId="0">
      <selection activeCell="B18" sqref="B18"/>
    </sheetView>
  </sheetViews>
  <sheetFormatPr defaultRowHeight="14.4" x14ac:dyDescent="0.3"/>
  <cols>
    <col min="1" max="1" width="14.44140625" customWidth="1"/>
    <col min="2" max="2" width="15.21875" customWidth="1"/>
  </cols>
  <sheetData>
    <row r="1" spans="1:2" x14ac:dyDescent="0.3">
      <c r="A1" t="s">
        <v>6</v>
      </c>
      <c r="B1" t="s">
        <v>116</v>
      </c>
    </row>
    <row r="2" spans="1:2" x14ac:dyDescent="0.3">
      <c r="A2" t="s">
        <v>67</v>
      </c>
      <c r="B2">
        <v>414000</v>
      </c>
    </row>
    <row r="3" spans="1:2" x14ac:dyDescent="0.3">
      <c r="A3" t="s">
        <v>66</v>
      </c>
      <c r="B3">
        <v>247000</v>
      </c>
    </row>
    <row r="4" spans="1:2" x14ac:dyDescent="0.3">
      <c r="A4" t="s">
        <v>72</v>
      </c>
      <c r="B4">
        <v>194000</v>
      </c>
    </row>
    <row r="5" spans="1:2" x14ac:dyDescent="0.3">
      <c r="A5" t="s">
        <v>73</v>
      </c>
      <c r="B5">
        <v>94500</v>
      </c>
    </row>
    <row r="6" spans="1:2" x14ac:dyDescent="0.3">
      <c r="A6" t="s">
        <v>70</v>
      </c>
      <c r="B6">
        <v>86500</v>
      </c>
    </row>
    <row r="7" spans="1:2" x14ac:dyDescent="0.3">
      <c r="A7" t="s">
        <v>64</v>
      </c>
      <c r="B7">
        <v>56400</v>
      </c>
    </row>
    <row r="8" spans="1:2" x14ac:dyDescent="0.3">
      <c r="A8" t="s">
        <v>69</v>
      </c>
      <c r="B8">
        <v>26000</v>
      </c>
    </row>
    <row r="9" spans="1:2" x14ac:dyDescent="0.3">
      <c r="A9" t="s">
        <v>68</v>
      </c>
      <c r="B9">
        <v>24700</v>
      </c>
    </row>
    <row r="10" spans="1:2" x14ac:dyDescent="0.3">
      <c r="A10" t="s">
        <v>71</v>
      </c>
      <c r="B10">
        <v>23000</v>
      </c>
    </row>
    <row r="11" spans="1:2" x14ac:dyDescent="0.3">
      <c r="A11" t="s">
        <v>65</v>
      </c>
      <c r="B11">
        <v>12000</v>
      </c>
    </row>
    <row r="12" spans="1:2" x14ac:dyDescent="0.3">
      <c r="A12" t="s">
        <v>63</v>
      </c>
      <c r="B12">
        <v>7000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957CC-9768-4EA5-B5CE-4CBB75C03290}">
  <dimension ref="A3:B15"/>
  <sheetViews>
    <sheetView workbookViewId="0">
      <selection activeCell="D22" sqref="D22"/>
    </sheetView>
  </sheetViews>
  <sheetFormatPr defaultRowHeight="14.4" x14ac:dyDescent="0.3"/>
  <cols>
    <col min="1" max="1" width="13.88671875" bestFit="1" customWidth="1"/>
    <col min="2" max="2" width="23.33203125" bestFit="1" customWidth="1"/>
  </cols>
  <sheetData>
    <row r="3" spans="1:2" x14ac:dyDescent="0.3">
      <c r="A3" s="4" t="s">
        <v>114</v>
      </c>
      <c r="B3" t="s">
        <v>127</v>
      </c>
    </row>
    <row r="4" spans="1:2" x14ac:dyDescent="0.3">
      <c r="A4" s="5" t="s">
        <v>64</v>
      </c>
      <c r="B4">
        <v>40000</v>
      </c>
    </row>
    <row r="5" spans="1:2" x14ac:dyDescent="0.3">
      <c r="A5" s="5" t="s">
        <v>71</v>
      </c>
      <c r="B5">
        <v>20000</v>
      </c>
    </row>
    <row r="6" spans="1:2" x14ac:dyDescent="0.3">
      <c r="A6" s="5" t="s">
        <v>68</v>
      </c>
      <c r="B6">
        <v>4000</v>
      </c>
    </row>
    <row r="7" spans="1:2" x14ac:dyDescent="0.3">
      <c r="A7" s="5" t="s">
        <v>67</v>
      </c>
      <c r="B7">
        <v>414000</v>
      </c>
    </row>
    <row r="8" spans="1:2" x14ac:dyDescent="0.3">
      <c r="A8" s="5" t="s">
        <v>65</v>
      </c>
      <c r="B8">
        <v>10000</v>
      </c>
    </row>
    <row r="9" spans="1:2" x14ac:dyDescent="0.3">
      <c r="A9" s="5" t="s">
        <v>73</v>
      </c>
      <c r="B9">
        <v>69500</v>
      </c>
    </row>
    <row r="10" spans="1:2" x14ac:dyDescent="0.3">
      <c r="A10" s="5" t="s">
        <v>66</v>
      </c>
      <c r="B10">
        <v>130000</v>
      </c>
    </row>
    <row r="11" spans="1:2" x14ac:dyDescent="0.3">
      <c r="A11" s="5" t="s">
        <v>70</v>
      </c>
      <c r="B11">
        <v>11500</v>
      </c>
    </row>
    <row r="12" spans="1:2" x14ac:dyDescent="0.3">
      <c r="A12" s="5" t="s">
        <v>63</v>
      </c>
      <c r="B12">
        <v>7000</v>
      </c>
    </row>
    <row r="13" spans="1:2" x14ac:dyDescent="0.3">
      <c r="A13" s="5" t="s">
        <v>69</v>
      </c>
      <c r="B13">
        <v>16000</v>
      </c>
    </row>
    <row r="14" spans="1:2" x14ac:dyDescent="0.3">
      <c r="A14" s="5" t="s">
        <v>72</v>
      </c>
      <c r="B14">
        <v>100000</v>
      </c>
    </row>
    <row r="15" spans="1:2" x14ac:dyDescent="0.3">
      <c r="A15" s="5" t="s">
        <v>115</v>
      </c>
      <c r="B15">
        <v>822000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9405C-5947-4295-B4B7-1DB631713027}">
  <dimension ref="A1:B5"/>
  <sheetViews>
    <sheetView workbookViewId="0">
      <selection activeCell="E13" sqref="E13"/>
    </sheetView>
  </sheetViews>
  <sheetFormatPr defaultRowHeight="14.4" x14ac:dyDescent="0.3"/>
  <cols>
    <col min="1" max="1" width="16.6640625" customWidth="1"/>
    <col min="2" max="2" width="16.33203125" customWidth="1"/>
  </cols>
  <sheetData>
    <row r="1" spans="1:2" x14ac:dyDescent="0.3">
      <c r="A1" t="s">
        <v>10</v>
      </c>
      <c r="B1" t="s">
        <v>117</v>
      </c>
    </row>
    <row r="2" spans="1:2" x14ac:dyDescent="0.3">
      <c r="A2" t="s">
        <v>107</v>
      </c>
      <c r="B2">
        <v>23</v>
      </c>
    </row>
    <row r="3" spans="1:2" x14ac:dyDescent="0.3">
      <c r="A3" t="s">
        <v>108</v>
      </c>
      <c r="B3">
        <v>16</v>
      </c>
    </row>
    <row r="4" spans="1:2" x14ac:dyDescent="0.3">
      <c r="A4" t="s">
        <v>109</v>
      </c>
      <c r="B4">
        <v>10</v>
      </c>
    </row>
    <row r="5" spans="1:2" x14ac:dyDescent="0.3">
      <c r="A5" t="s">
        <v>110</v>
      </c>
      <c r="B5">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6E384-1339-4B00-B9A3-E18B3FA0C1C8}">
  <dimension ref="A1:B6"/>
  <sheetViews>
    <sheetView workbookViewId="0">
      <selection activeCell="C6" sqref="C6"/>
    </sheetView>
  </sheetViews>
  <sheetFormatPr defaultRowHeight="14.4" x14ac:dyDescent="0.3"/>
  <cols>
    <col min="1" max="1" width="17.21875" customWidth="1"/>
    <col min="2" max="2" width="15" customWidth="1"/>
  </cols>
  <sheetData>
    <row r="1" spans="1:2" x14ac:dyDescent="0.3">
      <c r="A1" s="6" t="s">
        <v>118</v>
      </c>
      <c r="B1" s="6" t="s">
        <v>119</v>
      </c>
    </row>
    <row r="2" spans="1:2" x14ac:dyDescent="0.3">
      <c r="A2" s="6" t="s">
        <v>120</v>
      </c>
      <c r="B2" s="6">
        <v>10</v>
      </c>
    </row>
    <row r="3" spans="1:2" x14ac:dyDescent="0.3">
      <c r="A3" s="6" t="s">
        <v>121</v>
      </c>
      <c r="B3" s="6">
        <v>10</v>
      </c>
    </row>
    <row r="4" spans="1:2" x14ac:dyDescent="0.3">
      <c r="A4" s="6" t="s">
        <v>122</v>
      </c>
      <c r="B4" s="6">
        <v>10</v>
      </c>
    </row>
    <row r="5" spans="1:2" x14ac:dyDescent="0.3">
      <c r="A5" s="6" t="s">
        <v>123</v>
      </c>
      <c r="B5" s="6">
        <v>10</v>
      </c>
    </row>
    <row r="6" spans="1:2" x14ac:dyDescent="0.3">
      <c r="A6" s="6" t="s">
        <v>124</v>
      </c>
      <c r="B6" s="6">
        <v>10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3F20F-9D05-4433-9480-8DAD3556AA58}">
  <dimension ref="A1:B12"/>
  <sheetViews>
    <sheetView workbookViewId="0">
      <selection activeCell="A13" sqref="A13"/>
    </sheetView>
  </sheetViews>
  <sheetFormatPr defaultRowHeight="14.4" x14ac:dyDescent="0.3"/>
  <cols>
    <col min="1" max="1" width="15" customWidth="1"/>
    <col min="2" max="2" width="15.33203125" customWidth="1"/>
  </cols>
  <sheetData>
    <row r="1" spans="1:2" x14ac:dyDescent="0.3">
      <c r="A1" t="s">
        <v>6</v>
      </c>
      <c r="B1" t="s">
        <v>117</v>
      </c>
    </row>
    <row r="2" spans="1:2" x14ac:dyDescent="0.3">
      <c r="A2" t="s">
        <v>66</v>
      </c>
      <c r="B2">
        <v>6</v>
      </c>
    </row>
    <row r="3" spans="1:2" x14ac:dyDescent="0.3">
      <c r="A3" t="s">
        <v>67</v>
      </c>
      <c r="B3">
        <v>6</v>
      </c>
    </row>
    <row r="4" spans="1:2" x14ac:dyDescent="0.3">
      <c r="A4" t="s">
        <v>68</v>
      </c>
      <c r="B4">
        <v>5</v>
      </c>
    </row>
    <row r="5" spans="1:2" x14ac:dyDescent="0.3">
      <c r="A5" t="s">
        <v>69</v>
      </c>
      <c r="B5">
        <v>5</v>
      </c>
    </row>
    <row r="6" spans="1:2" x14ac:dyDescent="0.3">
      <c r="A6" t="s">
        <v>70</v>
      </c>
      <c r="B6">
        <v>5</v>
      </c>
    </row>
    <row r="7" spans="1:2" x14ac:dyDescent="0.3">
      <c r="A7" t="s">
        <v>71</v>
      </c>
      <c r="B7">
        <v>5</v>
      </c>
    </row>
    <row r="8" spans="1:2" x14ac:dyDescent="0.3">
      <c r="A8" t="s">
        <v>72</v>
      </c>
      <c r="B8">
        <v>5</v>
      </c>
    </row>
    <row r="9" spans="1:2" x14ac:dyDescent="0.3">
      <c r="A9" t="s">
        <v>73</v>
      </c>
      <c r="B9">
        <v>5</v>
      </c>
    </row>
    <row r="10" spans="1:2" x14ac:dyDescent="0.3">
      <c r="A10" t="s">
        <v>65</v>
      </c>
      <c r="B10">
        <v>4</v>
      </c>
    </row>
    <row r="11" spans="1:2" x14ac:dyDescent="0.3">
      <c r="A11" t="s">
        <v>64</v>
      </c>
      <c r="B11">
        <v>3</v>
      </c>
    </row>
    <row r="12" spans="1:2" x14ac:dyDescent="0.3">
      <c r="A12" t="s">
        <v>63</v>
      </c>
      <c r="B12">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B3A7D-D3FA-4C9A-85F0-FC4D97695EEE}">
  <dimension ref="A1:A2"/>
  <sheetViews>
    <sheetView workbookViewId="0">
      <selection activeCell="A2" sqref="A2"/>
    </sheetView>
  </sheetViews>
  <sheetFormatPr defaultRowHeight="14.4" x14ac:dyDescent="0.3"/>
  <cols>
    <col min="1" max="1" width="19.21875" customWidth="1"/>
  </cols>
  <sheetData>
    <row r="1" spans="1:1" x14ac:dyDescent="0.3">
      <c r="A1" s="6" t="s">
        <v>125</v>
      </c>
    </row>
    <row r="2" spans="1:1" x14ac:dyDescent="0.3">
      <c r="A2" s="6">
        <v>4.16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EC04B-535A-46A9-9EDD-C6B317051880}">
  <dimension ref="I1:I3"/>
  <sheetViews>
    <sheetView tabSelected="1" workbookViewId="0">
      <selection activeCell="I8" sqref="I8"/>
    </sheetView>
  </sheetViews>
  <sheetFormatPr defaultRowHeight="14.4" x14ac:dyDescent="0.3"/>
  <cols>
    <col min="9" max="9" width="27.21875" customWidth="1"/>
  </cols>
  <sheetData>
    <row r="1" spans="9:9" x14ac:dyDescent="0.3">
      <c r="I1" s="7"/>
    </row>
    <row r="2" spans="9:9" ht="13.2" customHeight="1" x14ac:dyDescent="0.3">
      <c r="I2" s="7"/>
    </row>
    <row r="3" spans="9:9" ht="42.6" customHeight="1" x14ac:dyDescent="0.3">
      <c r="I3" s="10" t="s">
        <v>128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DEPARTMENT REVENUE</vt:lpstr>
      <vt:lpstr>PIVOTTABLE</vt:lpstr>
      <vt:lpstr>INSURANCE ANALYSIS</vt:lpstr>
      <vt:lpstr>MONTHLY ADMISSION</vt:lpstr>
      <vt:lpstr>PATIENTCOUNT</vt:lpstr>
      <vt:lpstr>AVERAGESTAY</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Dhanushkumar S</dc:creator>
  <cp:lastModifiedBy>Dhanushkumar S</cp:lastModifiedBy>
  <dcterms:created xsi:type="dcterms:W3CDTF">2026-10-08T13:38:40Z</dcterms:created>
  <dcterms:modified xsi:type="dcterms:W3CDTF">2026-10-13T06:50:46Z</dcterms:modified>
</cp:coreProperties>
</file>